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codeName="ThisWorkbook"/>
  <bookViews>
    <workbookView windowWidth="23040" windowHeight="9000" tabRatio="702" activeTab="5"/>
  </bookViews>
  <sheets>
    <sheet name="Summary BOQ Annex-B" sheetId="54" r:id="rId1"/>
    <sheet name="B1-Computing Nodes With GPU" sheetId="27" r:id="rId2"/>
    <sheet name="B2-NVMe Storage " sheetId="28" r:id="rId3"/>
    <sheet name="B3-Back up Storage" sheetId="29" r:id="rId4"/>
    <sheet name="B4-SAN Switch " sheetId="30" r:id="rId5"/>
    <sheet name="B5-Cloud" sheetId="49" r:id="rId6"/>
  </sheets>
  <definedNames>
    <definedName name="_xlnm.Print_Area" localSheetId="1">'B1-Computing Nodes With GPU'!$A$1:$H$29</definedName>
    <definedName name="_xlnm.Print_Area" localSheetId="3">'B3-Back up Storage'!$A$1:$H$36</definedName>
    <definedName name="_xlnm.Print_Area" localSheetId="4">'B4-SAN Switch '!$A$1:$F$19</definedName>
    <definedName name="_xlnm.Print_Area" localSheetId="0">'Summary BOQ Annex-B'!$A$1:$C$8</definedName>
    <definedName name="_xlnm.Print_Titles" localSheetId="2">'B2-NVMe Storage '!$3:$4</definedName>
    <definedName name="_xlnm.Print_Titles" localSheetId="3">'B3-Back up Storage'!$4:$5</definedName>
    <definedName name="_xlnm.Print_Titles" localSheetId="5">'B5-Cloud'!$3:$3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<sst xmlns="http://schemas.openxmlformats.org/spreadsheetml/2006/main" count="274" uniqueCount="199">
  <si>
    <t>LOT- 2 : Technical Specification Of Equipments</t>
  </si>
  <si>
    <t>SUMMARY- ESTABLISHMENT OF NTC DATA CENTER KARACHI</t>
  </si>
  <si>
    <t>S No.</t>
  </si>
  <si>
    <t>Description</t>
  </si>
  <si>
    <t xml:space="preserve">Annex </t>
  </si>
  <si>
    <t xml:space="preserve"> Section-I (Computing Nodes with  GPU) </t>
  </si>
  <si>
    <t>B-1</t>
  </si>
  <si>
    <t xml:space="preserve"> Section-II (Storage (SAN) NVME All-Flash ) </t>
  </si>
  <si>
    <t>B-2</t>
  </si>
  <si>
    <t xml:space="preserve"> Section-II (SAN  (Archive, backup/ cold data Storage) </t>
  </si>
  <si>
    <t>B-3</t>
  </si>
  <si>
    <t xml:space="preserve"> Section-II (SAN Switch ) </t>
  </si>
  <si>
    <t>B-4</t>
  </si>
  <si>
    <t xml:space="preserve"> Section-VI (Virtualization, Cloud)</t>
  </si>
  <si>
    <t>B-5</t>
  </si>
  <si>
    <t>Annex-B1</t>
  </si>
  <si>
    <t>SECTION-I: Technical Specification of Computing Nodes with GPU</t>
  </si>
  <si>
    <t>S#</t>
  </si>
  <si>
    <t>Items</t>
  </si>
  <si>
    <t>Total Marks</t>
  </si>
  <si>
    <t>Techaccess</t>
  </si>
  <si>
    <t>Premier</t>
  </si>
  <si>
    <t>Compliance/Marks</t>
  </si>
  <si>
    <t>Marks Obtained</t>
  </si>
  <si>
    <t>A</t>
  </si>
  <si>
    <t>Server without GPU Cards</t>
  </si>
  <si>
    <t>Processor</t>
  </si>
  <si>
    <t>Rack Mount Chassis (Server Type A: with GPU capability only) having 2x Intel Xeon 6th Gen Processors, performance Cores &gt;=48 (per Processor), &gt;=2.4 GHz base frequency, cache &gt;=48 MB.</t>
  </si>
  <si>
    <t>Processor Preference</t>
  </si>
  <si>
    <t>Higher Processor specs / Cores capacity will be preferred</t>
  </si>
  <si>
    <t>Memory (RAM)</t>
  </si>
  <si>
    <t xml:space="preserve"> RAM DDR5 &gt;= 1.5TB per node with &gt;= 64GB modules (&gt;=6400 MT/s Memory speed).</t>
  </si>
  <si>
    <t>Memory (RAM) Preference</t>
  </si>
  <si>
    <t>Higher Memory speed / Capacity will be preferred</t>
  </si>
  <si>
    <t>Storage</t>
  </si>
  <si>
    <r>
      <rPr>
        <sz val="12"/>
        <rFont val="Book Antiqua"/>
        <charset val="134"/>
      </rPr>
      <t xml:space="preserve"> 2x Disk Drivers for OS/Hypervisor &amp; &gt;= </t>
    </r>
    <r>
      <rPr>
        <sz val="12"/>
        <color rgb="FFFF0000"/>
        <rFont val="Book Antiqua"/>
        <charset val="134"/>
      </rPr>
      <t>4 Disk Drivers NVME SSD &gt;=4TB usable capacity per Node/server machine</t>
    </r>
  </si>
  <si>
    <t>Storage Preference</t>
  </si>
  <si>
    <t>Higher Disk speed/capacity will be preferred</t>
  </si>
  <si>
    <t>Network/Interfaces</t>
  </si>
  <si>
    <t>2x Port 25 GbE/each port NICs Per server node
2x Port 32 Gb / each port Fibre Channel HBA NICs per server node
Dual  Server Management ports per server node
All required cables, transceivers/SFPs, and accessories need to be included</t>
  </si>
  <si>
    <t>Networking Preference</t>
  </si>
  <si>
    <t>Higher Interface speed/Quantity of interfaces will be preferred.</t>
  </si>
  <si>
    <t>B</t>
  </si>
  <si>
    <t>Server With GPU Cards</t>
  </si>
  <si>
    <t>Rack Mount Chassis (Type B with GPU compatibility and GPU cards loading) having 2x Intel Xeon 6th Gen Processors, performance Cores &gt;=48 (per Processor), &gt;=2.4 GHz base frequency, cache &gt;=48 MB.</t>
  </si>
  <si>
    <t xml:space="preserve"> RAM DDR5 &gt;= 1.5 TB per node with &gt;= 64GB modules (&gt;=6400 MT/s Memory speed).</t>
  </si>
  <si>
    <t>2x NVMe SSD Drives &gt;=600 GB (for OS/Hypervisor) &amp; &gt;= 4 Disk Drivers NVME SSD &gt;=4TB usable capacity per Node/server</t>
  </si>
  <si>
    <t>Networking</t>
  </si>
  <si>
    <r>
      <rPr>
        <sz val="12"/>
        <rFont val="Book Antiqua"/>
        <charset val="134"/>
      </rPr>
      <t xml:space="preserve">2x Dual Ports (4 ports total) </t>
    </r>
    <r>
      <rPr>
        <sz val="12"/>
        <color rgb="FFFF0000"/>
        <rFont val="Book Antiqua"/>
        <charset val="134"/>
      </rPr>
      <t>25 GbE</t>
    </r>
    <r>
      <rPr>
        <sz val="12"/>
        <rFont val="Book Antiqua"/>
        <charset val="134"/>
      </rPr>
      <t>/each port NICs Per server node
2x Dual Port (4 ports total) 32 Gb / each port Fibre Channel HBA NICs per server node
Dual Server Management ports per server node
All required cables, transceivers, SFP and accessories need to be included</t>
    </r>
  </si>
  <si>
    <t>GPU Card I</t>
  </si>
  <si>
    <t>NVIDIA-L4 for  or equivalent/higher GPU cards Each nodes with 1x NVIDIA L4 GPU or equivalent including necessary licenses for GPU virtualization to enable NTC to provide GPU based services in Multitenancy.</t>
  </si>
  <si>
    <t>GPU Card II</t>
  </si>
  <si>
    <t>NVIDIA-L40S or equivalent/higher GPU cards including necessary licenses for GPU virtualization (other applicable licneses) to enable NTC to provide GPU based services in Multitenancy (if applicable), OEM Support, liscense renewals and updation services for 03x years)</t>
  </si>
  <si>
    <t>GPU Card III</t>
  </si>
  <si>
    <t>NVIDIA-H200 or equivalent/higher GPU cards including necessary licenses for GPU virtualization (other applicable licneses) to enable NTC to provide GPU based services,(OEM Support ,liscense renewals and updation services for 03x years)</t>
  </si>
  <si>
    <t>can these be deployed in 2U machines</t>
  </si>
  <si>
    <t>GPU Card IV</t>
  </si>
  <si>
    <t>NVIDIA-A100 or equivalent/higher GPU cards including necessary licenses for GPU virtualization (MIG) to enable NTC to provide GPU based services in Multitenancy,(OEM Support ,liscense renewals and updation services for 03x years)</t>
  </si>
  <si>
    <t>Deployment, Software, Support and Services</t>
  </si>
  <si>
    <t>All necessary software, Firmware, Driver etc including management, monitoring and logging licenses for server nodes and GPU cards with one time deployment, commissioning &amp; 3x years (post PAC) OEM support with license renewal and updation services</t>
  </si>
  <si>
    <t xml:space="preserve">Grand Total </t>
  </si>
  <si>
    <t>Note</t>
  </si>
  <si>
    <t>Bidder's Statement column must be properly filled to clearly state the available feature/compliance as fully complied (FC), partially complied (PC) or not complied (NC) or better feature is available, Tick the relevant box. The bidder must Fully comply to all Mandatory clauses (Denoted as "M" in Mraks column) failing to do so will Technically disqualify the bidder, Moreover, the bidder should score 75 % or more of the total marks given in "Marks" column. The compliance of above specification must be supported by data sheet of product to certify the Compliance.</t>
  </si>
  <si>
    <t>Annex-B2</t>
  </si>
  <si>
    <t xml:space="preserve">SECTION-II: Technical Spectifcation of Storage  (SAN) NVME All-Flash </t>
  </si>
  <si>
    <t>DWP (Huawei OceanStor Dorado 6000 V6)</t>
  </si>
  <si>
    <t>Premier (HPE Alletra Storage B10140)</t>
  </si>
  <si>
    <t>Remarks</t>
  </si>
  <si>
    <t xml:space="preserve">Architecture: </t>
  </si>
  <si>
    <t xml:space="preserve">Proposed Modular All Flash storage system must contain dual Active/Active Controller, based on CISC or RISC processor artichecture </t>
  </si>
  <si>
    <t xml:space="preserve">Intel/CISC processor based controllers </t>
  </si>
  <si>
    <t>Minimum, 32 cores per controller and 64 cores overall</t>
  </si>
  <si>
    <t>Higher than 32 cores per controller</t>
  </si>
  <si>
    <t>Disk Type</t>
  </si>
  <si>
    <t>Should have NVME-TLC or better performance/technology disk type as per industry standards</t>
  </si>
  <si>
    <t>Storage Capacity</t>
  </si>
  <si>
    <t>Should provide at least 350 TB RAW capacity of SAN without deduplication and compression, with all requisite licenses.</t>
  </si>
  <si>
    <t>Per Disk capacity =15TB</t>
  </si>
  <si>
    <t>Hot-Spare Disk</t>
  </si>
  <si>
    <t>Should have global hot-spares disks as recommended by OEM (System need to work even in case of 2x disk drives failure with no imapct on user capacity)</t>
  </si>
  <si>
    <t xml:space="preserve">Cache </t>
  </si>
  <si>
    <t>At least 384 GB DRAM cache per controller, (Total minimum 768 GB for complete storage)</t>
  </si>
  <si>
    <t>More than 384 GB DRAM cache per controller, (More than 768 GB for complete storage)</t>
  </si>
  <si>
    <t>RAID Configuration</t>
  </si>
  <si>
    <t>Proposed storages should support Distributed RAID/Dynamic RAID, RAID6 etc</t>
  </si>
  <si>
    <t>Backend Connectivity</t>
  </si>
  <si>
    <r>
      <rPr>
        <sz val="12"/>
        <color theme="1"/>
        <rFont val="Book Antiqua"/>
        <charset val="134"/>
      </rPr>
      <t>End-to</t>
    </r>
    <r>
      <rPr>
        <sz val="12"/>
        <rFont val="Book Antiqua"/>
        <charset val="134"/>
      </rPr>
      <t>-end NVME</t>
    </r>
    <r>
      <rPr>
        <sz val="12"/>
        <color theme="1"/>
        <rFont val="Book Antiqua"/>
        <charset val="134"/>
      </rPr>
      <t xml:space="preserve"> Backend connectivity for disks drives</t>
    </r>
  </si>
  <si>
    <t xml:space="preserve">Frontend Ports </t>
  </si>
  <si>
    <t>Minimum 2 x 32Gbps FC Ports for FC connectivity per controller.</t>
  </si>
  <si>
    <t xml:space="preserve">Ethernet ports 4x 10 Gbps connectivity, 1 Gbps (Management port) and per controller </t>
  </si>
  <si>
    <t>Protocol Support</t>
  </si>
  <si>
    <t>Should support FC, iSCSI, NFS, NVMe/TCP, NVMe/FC etc (Please specify all protocols)</t>
  </si>
  <si>
    <t>High Availability</t>
  </si>
  <si>
    <t>Redundant disk enclosure connectivity with Redundant (front-end &amp; back-end) interfaces on each controller, Redundant fans &amp; power supplies for controllers &amp; disk enclosures.</t>
  </si>
  <si>
    <t>Deduplication / Compression</t>
  </si>
  <si>
    <t>Must have both in-line and post process deduplication &amp; compression controller based, with compression module</t>
  </si>
  <si>
    <t>Data Encryption</t>
  </si>
  <si>
    <t>Support Data at Rest Encryption solution for all drives.</t>
  </si>
  <si>
    <t>Storage Virtualization</t>
  </si>
  <si>
    <t>Should provide storage virtualization and containnerazation license</t>
  </si>
  <si>
    <t>Storage Features</t>
  </si>
  <si>
    <t>Thin Provisioning, volume copy,  Compression and Deduplication, SAN to SAN FC over IP, FC and IP based Sync/Async local/remote replication</t>
  </si>
  <si>
    <t>Immutable snapshot and secure replication in case of Cyber Threat / equivalent from same OEM</t>
  </si>
  <si>
    <t>Storage should provide 100% data availability Guarantee in case of failure</t>
  </si>
  <si>
    <t>Integration &amp; Support</t>
  </si>
  <si>
    <t>Should support integration and provisioning from VMWare, Redhat Openshift, Openstack,  etc, necessary drivers for containers (e.g CSI Drivers), file storage etc to be included</t>
  </si>
  <si>
    <t>Syslog integration with SIEM solution</t>
  </si>
  <si>
    <t>MFA on administrative login should be provisioned (MFA for 10 users with necessary integrations with soft tokens till duration of support period)</t>
  </si>
  <si>
    <t>Storage Resource Pooling</t>
  </si>
  <si>
    <t>Should have ability to expand capacity or reconfiguration of LUNs, without downtime and outage.</t>
  </si>
  <si>
    <t>Quality of Service</t>
  </si>
  <si>
    <t>Proposed storages / solution should support Quality of Service (QoS) for prioritization of storage resources/services</t>
  </si>
  <si>
    <t>Monitoring &amp; Management Software</t>
  </si>
  <si>
    <t>Should provide management software of the proposed system, with web-based GUI interface capable of providing real time monitoring and able to generate customized reports from real time and historical performance data for analysis, trending and capacity utilization trends.</t>
  </si>
  <si>
    <t>Licenses</t>
  </si>
  <si>
    <t>Should provide all required license (perpetual) of proposed Solution of regardless of capacity delivered capacity, no additional licenses should be requried for any upgrade (storage virtualization, deduplication, compression, thin provisioning, cloning, replication (Sync/Async), snapshot, management and monitoring software’s) with 03 years support and free of cost software renewals &amp; upgrades.</t>
  </si>
  <si>
    <t>Support &amp; Warranty</t>
  </si>
  <si>
    <t>Should provide Three (03) years support 24 x 7 with NBD parts replacement and warranty services, Should provide future software / firmware releases free of cost and updates / upgrades them as recommended by the OEM during the 3 years period for the procured solution.</t>
  </si>
  <si>
    <t>Product Life Cycle</t>
  </si>
  <si>
    <t xml:space="preserve">Proposed solution should not be declared End of Life and Support for at least 5 years from Acceptance. </t>
  </si>
  <si>
    <t>IOPS</t>
  </si>
  <si>
    <t xml:space="preserve"> IOPS need to be shared by OEM certified document, actual Iops of the proposed solutionbased on, I/O block size=8K Byte, RAID=6, Read%=60, write%=40, and need to be maintained in support period.</t>
  </si>
  <si>
    <t>Data transfer M/B</t>
  </si>
  <si>
    <t xml:space="preserve"> data transfer rate  of the proposed solutionbased on ,I/O block size=8K, RAID=6, Read%=60, write%=40.</t>
  </si>
  <si>
    <t>Grand Total</t>
  </si>
  <si>
    <t>Annex-B3</t>
  </si>
  <si>
    <t>SECTION-II: Technical Spectifcation of SAN  (Archive, backup/ cold data Storage)</t>
  </si>
  <si>
    <t>S NO.</t>
  </si>
  <si>
    <t>Premier (HPE Alletra Storage B10100)</t>
  </si>
  <si>
    <t>Modular Unified Hybrid Storage System Backup Storage  (Archive, backup/ cold data Storage)</t>
  </si>
  <si>
    <t>Active/Active Dual Controller High Availability (HA) Pair</t>
  </si>
  <si>
    <t>Controller chassis form factor: 2U with &gt;=12 internal drives</t>
  </si>
  <si>
    <t>Drive Scalability: &gt;=100 drives (Must supports SSD, NL-SAS, SAS, and mixed drive types) per HA pair</t>
  </si>
  <si>
    <t xml:space="preserve"> NL-SAS drives for RAID/Data</t>
  </si>
  <si>
    <t>Storage Capacity Preference</t>
  </si>
  <si>
    <t>Higher Storage capacity, better disk capacity type will be preferred</t>
  </si>
  <si>
    <t>Additional 2 x NL-SAS drives, excluding data/RAID drives, more Drives will be preferred</t>
  </si>
  <si>
    <t xml:space="preserve"> 48GB memory per Controller </t>
  </si>
  <si>
    <t>Cache (Preference)</t>
  </si>
  <si>
    <t>Higher than 48GB Memory will be preferred</t>
  </si>
  <si>
    <t>RAID 6, Dual and Triple parity RAID support</t>
  </si>
  <si>
    <t>Higher supported RAIDs will be preferred</t>
  </si>
  <si>
    <t>Atleast 12Gbps backend connectvity</t>
  </si>
  <si>
    <t>2 x 32 Gbps optical interfases per controlller or 4x25Gbps iSCSI optival interfaces per controller</t>
  </si>
  <si>
    <t>More/Higher ports will be preferred</t>
  </si>
  <si>
    <t>Protocols and license as per provided solution interfaces, higher/better protocols will be preferred</t>
  </si>
  <si>
    <t>Preference Encryption, Deduplication / Compression</t>
  </si>
  <si>
    <t>Higher values of compression, dedplication, Worm-in encryption will be preferred</t>
  </si>
  <si>
    <t>Storage Virtualization/Containerization</t>
  </si>
  <si>
    <t>Must support storage virtual machines, and Storage Containarization services (necessary drivers/software to be included)</t>
  </si>
  <si>
    <t>Anti-ransomware builtin protection for both preemption  and post-attack recovery. Logically air-gapped and Immutable Snapshot copies</t>
  </si>
  <si>
    <t>Including Multi-factor authentication (out of band 2FA),  and role-based access control, with all required hardware/software.</t>
  </si>
  <si>
    <t xml:space="preserve"> Operating support for all leading oprating systems (including but not limited to M/S Windows, RHEL, OEL etc) and  virtualization (including but not limited to Vmware, Redhat, OpenStack and Other industry standard virtualizaytion/Cloud  solutions and others). Preferce will be given to more integratable solution</t>
  </si>
  <si>
    <t>Must have built in storage managemnet software for Operational simplicity with a streamlined setup process and intuitive management through the GUI, CLI and REST APIs.</t>
  </si>
  <si>
    <t xml:space="preserve">Full proposed capacity licences must be included </t>
  </si>
  <si>
    <t>Licenses (Prefence)</t>
  </si>
  <si>
    <t>Preference will be given to product with more licenses and features</t>
  </si>
  <si>
    <t>3x years OEM 24/7/365, NBD part reaplacement support with license renewal, security patches and Firmware updgrad services</t>
  </si>
  <si>
    <t>The proposed storage solution should not reach End of Sale (EoS) for at least five years from the date of sale.</t>
  </si>
  <si>
    <t>Annex-B4</t>
  </si>
  <si>
    <t xml:space="preserve">SECTION-II: Technical Spectifcation of SAN Switches </t>
  </si>
  <si>
    <t>Techaccess Lenovo DB720s</t>
  </si>
  <si>
    <t>Quantity</t>
  </si>
  <si>
    <t>Number of (02) Gen 7 SAN switches.</t>
  </si>
  <si>
    <t>Port per Switch</t>
  </si>
  <si>
    <r>
      <rPr>
        <sz val="12"/>
        <color theme="1"/>
        <rFont val="Book Antiqua"/>
        <charset val="134"/>
      </rPr>
      <t>24 ports activated with 32Gbps SFP</t>
    </r>
    <r>
      <rPr>
        <sz val="12"/>
        <rFont val="Book Antiqua"/>
        <charset val="134"/>
      </rPr>
      <t xml:space="preserve"> (with support for 32Gbps, 64Gbps)</t>
    </r>
    <r>
      <rPr>
        <sz val="12"/>
        <color theme="1"/>
        <rFont val="Book Antiqua"/>
        <charset val="134"/>
      </rPr>
      <t xml:space="preserve"> and all required license having key features i.e. NPIV, SFPs for all Ports.</t>
    </r>
  </si>
  <si>
    <t>ISL connectivity &amp; management</t>
  </si>
  <si>
    <t>Should provide required ISL license for all switches, Should provide Ethernet / Serial port for management</t>
  </si>
  <si>
    <t>Dual Redundant Power supplies for Aile containment (as per solution), and all components need to be redundant (e.g connectivity, Fan etc)</t>
  </si>
  <si>
    <t>Management &amp; Monitoring</t>
  </si>
  <si>
    <t>a.     Should provide web management through http / https and command line management through SSH</t>
  </si>
  <si>
    <t>b.     Should provide real time utilization, health status and performance bottleneck in SAN.</t>
  </si>
  <si>
    <t>c.     Should provide role based user access on switch for each user.</t>
  </si>
  <si>
    <t>Should provide licenses for all functionality and software offered with this solution with free of cost</t>
  </si>
  <si>
    <t>Compatibility</t>
  </si>
  <si>
    <t>Switches firmware should be certified with proposed storage system and existing infrastructure</t>
  </si>
  <si>
    <t>Cables &amp; accessories</t>
  </si>
  <si>
    <t>Should provide rack mounting kit and power cables for installation of switches.</t>
  </si>
  <si>
    <t>a.     Should provide Three (03) years 24 x 7 NBD warranty with subscriptions, parts, labour and support.</t>
  </si>
  <si>
    <t>b.     Should provide future software / firmware releases free of cost and updates, renewals, upgrades them as recommended by the OEM</t>
  </si>
  <si>
    <t>Annex-B5</t>
  </si>
  <si>
    <t xml:space="preserve">SECTION-VI:Cloud Technical Specifications </t>
  </si>
  <si>
    <t>Component &amp; Scope (Subscriptions)</t>
  </si>
  <si>
    <t>Compliance</t>
  </si>
  <si>
    <t>Techaccess NexaVM</t>
  </si>
  <si>
    <t>Premier  NexaVM</t>
  </si>
  <si>
    <r>
      <rPr>
        <b/>
        <sz val="18"/>
        <color theme="1"/>
        <rFont val="Book Antiqua"/>
        <charset val="134"/>
      </rPr>
      <t xml:space="preserve">Cloud Infrastrcuture &amp; Virtualization (IaaS) 
</t>
    </r>
    <r>
      <rPr>
        <sz val="18"/>
        <color theme="1"/>
        <rFont val="Book Antiqua"/>
        <charset val="134"/>
      </rPr>
      <t>The solution need to be on-premises self hosted Cloud in multitenancy</t>
    </r>
    <r>
      <rPr>
        <b/>
        <sz val="18"/>
        <color theme="1"/>
        <rFont val="Book Antiqua"/>
        <charset val="134"/>
      </rPr>
      <t xml:space="preserve">. 
</t>
    </r>
    <r>
      <rPr>
        <sz val="18"/>
        <color theme="1"/>
        <rFont val="Book Antiqua"/>
        <charset val="134"/>
      </rPr>
      <t>Solution need to be in Cluster (high availability), nodes for cloud management (separate management nodes if required for deplpyment of solution to be quoted in addition to workload nodes)</t>
    </r>
  </si>
  <si>
    <t>i</t>
  </si>
  <si>
    <t>Hypervisor/Virtualization hosts for Virtual Machines (VMs). Must support standard virtualization features, including compute, storage, Network (internet and intranet services), Load balancing, austo-scaling, VPN,  Basic Backup utility (including snapshot based backup), Monitoring and other network virtualization features in multitenancy to enable NTC provide services in IaaS Model. 
 Enterprise Kubernetes solution including all standard features of Kubernetes for Container services, Backup/ Monitoring/ Logging etc. Solutoin need to support restful &amp; open API. Solution will include IAC (Infrastrcuture as a Code), and support of DevOps mechanism using scripting, ansible, terraform etc.</t>
  </si>
  <si>
    <t>ii</t>
  </si>
  <si>
    <r>
      <rPr>
        <b/>
        <sz val="18"/>
        <rFont val="Book Antiqua"/>
        <charset val="134"/>
      </rPr>
      <t>Backup:</t>
    </r>
    <r>
      <rPr>
        <sz val="18"/>
        <rFont val="Book Antiqua"/>
        <charset val="134"/>
      </rPr>
      <t xml:space="preserve"> Application Aware Backup, capable to integrate with hypervisor, for entire solution (on all server processors i.e 12), solution to support backup life-cycle policies, including immutability and encryption of backup to ensure security of the backupdata. Must support integrated Disaster Recovery functionaliy in the solution.</t>
    </r>
  </si>
  <si>
    <t>GPU Virtualization License (for all compute machine where applicable to be offered with cloud offering as a solution. Solution need to be integrated with GPU, hardware of the project.</t>
  </si>
  <si>
    <t>Unified Orchestration capable to mangage multitenant hetrogeneous environments</t>
  </si>
  <si>
    <t>Unified Managmenet in multitenancy, and neessary access controls including IAM &amp; Security (Identity and Access Management (IAM). Must deploy and integrate with Directory Services (LDAP/AD) as per solution requirement.</t>
  </si>
  <si>
    <t xml:space="preserve"> Metering (Built-in module for metering a(online/offline) supporting various serrvice models)</t>
  </si>
  <si>
    <r>
      <rPr>
        <b/>
        <sz val="18"/>
        <rFont val="Book Antiqua"/>
        <charset val="134"/>
      </rPr>
      <t>Professional Services &amp; Deployment &amp; SLA</t>
    </r>
    <r>
      <rPr>
        <sz val="18"/>
        <rFont val="Book Antiqua"/>
        <charset val="134"/>
      </rPr>
      <t xml:space="preserve"> (3 x years SLA including all licenses validity effective from PAC of project)</t>
    </r>
  </si>
  <si>
    <t>OPTIONAL:Year wise support for Year 4,5&amp; 6</t>
  </si>
  <si>
    <r>
      <rPr>
        <sz val="18"/>
        <color theme="1"/>
        <rFont val="Book Antiqua"/>
        <charset val="134"/>
      </rPr>
      <t>Deployment, Design &amp; Validation:</t>
    </r>
    <r>
      <rPr>
        <sz val="18"/>
        <color rgb="FF000000"/>
        <rFont val="Book Antiqua"/>
        <charset val="134"/>
      </rPr>
      <t> Conduct design workshops, create Low-Level Design (LLD) documentation, and perform pre-deployment environment validation,  Deploy the IaaS and PaaS layers, including necessary repositories (Image Registries/Artifact Repositories), complete solution deployment capable to onboard services through Cloud setup..</t>
    </r>
    <r>
      <rPr>
        <b/>
        <sz val="18"/>
        <color rgb="FF000000"/>
        <rFont val="Book Antiqua"/>
        <charset val="134"/>
      </rPr>
      <t xml:space="preserve"> Provide tenant onboarding documentation and operational handover</t>
    </r>
  </si>
  <si>
    <t>Note:All Optional items must be quoted,NTC will have the discretion to opt the optional mentioned items</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</si>
</sst>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2" formatCode="_(&quot;$&quot;* #,##0_);_(&quot;$&quot;* \(#,##0\);_(&quot;$&quot;* &quot;-&quot;_);_(@_)"/>
    <numFmt numFmtId="43" formatCode="_(* #,##0.00_);_(* \(#,##0.00\);_(* &quot;-&quot;??_);_(@_)"/>
    <numFmt numFmtId="44" formatCode="_(&quot;$&quot;* #,##0.00_);_(&quot;$&quot;* \(#,##0.00\);_(&quot;$&quot;* &quot;-&quot;??_);_(@_)"/>
    <numFmt numFmtId="176" formatCode="_ * #,##0_ ;_ * \-#,##0_ ;_ * &quot;-&quot;_ ;_ @_ "/>
    <numFmt numFmtId="177" formatCode="_(* #,##0_);_(* \(#,##0\);_(* &quot;-&quot;??_);_(@_)"/>
  </numFmts>
  <fonts count="56">
    <font>
      <sz val="11"/>
      <color theme="1"/>
      <name val="Calibri"/>
      <charset val="134"/>
      <scheme val="minor"/>
    </font>
    <font>
      <sz val="12"/>
      <color theme="1"/>
      <name val="Book Antiqua"/>
      <charset val="134"/>
    </font>
    <font>
      <b/>
      <sz val="22"/>
      <color theme="1"/>
      <name val="Book Antiqua"/>
      <charset val="134"/>
    </font>
    <font>
      <b/>
      <sz val="20"/>
      <color theme="1"/>
      <name val="Book Antiqua"/>
      <charset val="134"/>
    </font>
    <font>
      <b/>
      <sz val="18"/>
      <color theme="1"/>
      <name val="Book Antiqua"/>
      <charset val="134"/>
    </font>
    <font>
      <b/>
      <sz val="12"/>
      <color theme="1"/>
      <name val="Book Antiqua"/>
      <charset val="134"/>
    </font>
    <font>
      <sz val="18"/>
      <color theme="1"/>
      <name val="Book Antiqua"/>
      <charset val="134"/>
    </font>
    <font>
      <sz val="18"/>
      <name val="Book Antiqua"/>
      <charset val="134"/>
    </font>
    <font>
      <b/>
      <sz val="18"/>
      <name val="Book Antiqua"/>
      <charset val="134"/>
    </font>
    <font>
      <b/>
      <sz val="12"/>
      <color indexed="8"/>
      <name val="Book Antiqua"/>
      <charset val="134"/>
    </font>
    <font>
      <b/>
      <sz val="18"/>
      <color indexed="8"/>
      <name val="Book Antiqua"/>
      <charset val="134"/>
    </font>
    <font>
      <sz val="11"/>
      <color theme="1"/>
      <name val="Times New Roman"/>
      <charset val="134"/>
    </font>
    <font>
      <b/>
      <sz val="16"/>
      <color theme="1"/>
      <name val="Book Antiqua"/>
      <charset val="134"/>
    </font>
    <font>
      <b/>
      <sz val="12"/>
      <name val="Book Antiqua"/>
      <charset val="134"/>
    </font>
    <font>
      <sz val="11"/>
      <color theme="1"/>
      <name val="Book Antiqua"/>
      <charset val="134"/>
    </font>
    <font>
      <sz val="20"/>
      <color theme="1"/>
      <name val="Book Antiqua"/>
      <charset val="134"/>
    </font>
    <font>
      <b/>
      <sz val="15"/>
      <color theme="1"/>
      <name val="Book Antiqua"/>
      <charset val="134"/>
    </font>
    <font>
      <b/>
      <sz val="15"/>
      <name val="Book Antiqua"/>
      <charset val="134"/>
    </font>
    <font>
      <b/>
      <sz val="11"/>
      <color theme="1"/>
      <name val="Book Antiqua"/>
      <charset val="134"/>
    </font>
    <font>
      <sz val="15"/>
      <color theme="1"/>
      <name val="Book Antiqua"/>
      <charset val="134"/>
    </font>
    <font>
      <sz val="15"/>
      <color rgb="FF000000"/>
      <name val="Book Antiqua"/>
      <charset val="134"/>
    </font>
    <font>
      <sz val="15"/>
      <name val="Book Antiqua"/>
      <charset val="134"/>
    </font>
    <font>
      <sz val="15"/>
      <color rgb="FFFF0000"/>
      <name val="Book Antiqua"/>
      <charset val="134"/>
    </font>
    <font>
      <sz val="11"/>
      <color rgb="FFFF0000"/>
      <name val="Book Antiqua"/>
      <charset val="134"/>
    </font>
    <font>
      <b/>
      <sz val="14"/>
      <color theme="1"/>
      <name val="Book Antiqua"/>
      <charset val="134"/>
    </font>
    <font>
      <sz val="12"/>
      <color rgb="FF000000"/>
      <name val="Book Antiqua"/>
      <charset val="134"/>
    </font>
    <font>
      <sz val="12"/>
      <name val="Book Antiqua"/>
      <charset val="134"/>
    </font>
    <font>
      <sz val="12"/>
      <color theme="1"/>
      <name val="Calibri"/>
      <charset val="134"/>
      <scheme val="minor"/>
    </font>
    <font>
      <sz val="12"/>
      <color rgb="FFFF0000"/>
      <name val="Book Antiqua"/>
      <charset val="134"/>
    </font>
    <font>
      <b/>
      <sz val="12"/>
      <color rgb="FF303030"/>
      <name val="Google Sans Text"/>
      <charset val="134"/>
    </font>
    <font>
      <sz val="12"/>
      <color theme="1"/>
      <name val="Times New Roman"/>
      <charset val="134"/>
    </font>
    <font>
      <b/>
      <sz val="16"/>
      <name val="Book Antiqua"/>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sz val="10"/>
      <name val="Arial"/>
      <charset val="134"/>
    </font>
    <font>
      <sz val="10"/>
      <name val="Arial"/>
      <charset val="1"/>
    </font>
    <font>
      <sz val="18"/>
      <color rgb="FF000000"/>
      <name val="Book Antiqua"/>
      <charset val="134"/>
    </font>
    <font>
      <b/>
      <sz val="18"/>
      <color rgb="FF000000"/>
      <name val="Book Antiqua"/>
      <charset val="134"/>
    </font>
  </fonts>
  <fills count="37">
    <fill>
      <patternFill patternType="none"/>
    </fill>
    <fill>
      <patternFill patternType="gray125"/>
    </fill>
    <fill>
      <patternFill patternType="solid">
        <fgColor theme="0"/>
        <bgColor indexed="64"/>
      </patternFill>
    </fill>
    <fill>
      <patternFill patternType="solid">
        <fgColor theme="0" tint="-0.149998474074526"/>
        <bgColor indexed="64"/>
      </patternFill>
    </fill>
    <fill>
      <patternFill patternType="solid">
        <fgColor rgb="FFFFFF00"/>
        <bgColor indexed="64"/>
      </patternFill>
    </fill>
    <fill>
      <patternFill patternType="solid">
        <fgColor theme="5" tint="0.799981688894314"/>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47">
    <border>
      <left/>
      <right/>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diagonal/>
    </border>
    <border>
      <left/>
      <right/>
      <top style="thin">
        <color auto="1"/>
      </top>
      <bottom/>
      <diagonal/>
    </border>
    <border>
      <left/>
      <right style="medium">
        <color auto="1"/>
      </right>
      <top style="thin">
        <color auto="1"/>
      </top>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thin">
        <color auto="1"/>
      </left>
      <right style="thin">
        <color auto="1"/>
      </right>
      <top style="medium">
        <color auto="1"/>
      </top>
      <bottom/>
      <diagonal/>
    </border>
    <border>
      <left style="thin">
        <color auto="1"/>
      </left>
      <right style="thin">
        <color auto="1"/>
      </right>
      <top/>
      <bottom style="thin">
        <color auto="1"/>
      </bottom>
      <diagonal/>
    </border>
    <border>
      <left/>
      <right style="medium">
        <color auto="1"/>
      </right>
      <top/>
      <bottom/>
      <diagonal/>
    </border>
    <border>
      <left style="medium">
        <color auto="1"/>
      </left>
      <right style="thin">
        <color auto="1"/>
      </right>
      <top style="medium">
        <color auto="1"/>
      </top>
      <bottom style="medium">
        <color auto="1"/>
      </bottom>
      <diagonal/>
    </border>
    <border>
      <left style="thin">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style="thin">
        <color auto="1"/>
      </top>
      <bottom/>
      <diagonal/>
    </border>
    <border>
      <left style="thin">
        <color auto="1"/>
      </left>
      <right style="medium">
        <color auto="1"/>
      </right>
      <top style="thin">
        <color auto="1"/>
      </top>
      <bottom/>
      <diagonal/>
    </border>
    <border>
      <left style="thin">
        <color auto="1"/>
      </left>
      <right/>
      <top style="medium">
        <color auto="1"/>
      </top>
      <bottom style="medium">
        <color auto="1"/>
      </bottom>
      <diagonal/>
    </border>
    <border>
      <left style="thin">
        <color auto="1"/>
      </left>
      <right/>
      <top style="thin">
        <color auto="1"/>
      </top>
      <bottom style="thin">
        <color auto="1"/>
      </bottom>
      <diagonal/>
    </border>
    <border>
      <left style="thin">
        <color auto="1"/>
      </left>
      <right/>
      <top style="thin">
        <color auto="1"/>
      </top>
      <bottom/>
      <diagonal/>
    </border>
    <border>
      <left style="medium">
        <color auto="1"/>
      </left>
      <right style="thin">
        <color auto="1"/>
      </right>
      <top/>
      <bottom style="medium">
        <color auto="1"/>
      </bottom>
      <diagonal/>
    </border>
    <border>
      <left style="thin">
        <color auto="1"/>
      </left>
      <right style="thin">
        <color auto="1"/>
      </right>
      <top style="medium">
        <color auto="1"/>
      </top>
      <bottom style="medium">
        <color auto="1"/>
      </bottom>
      <diagonal/>
    </border>
    <border>
      <left style="medium">
        <color auto="1"/>
      </left>
      <right style="medium">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auto="1"/>
      </left>
      <right/>
      <top style="thin">
        <color auto="1"/>
      </top>
      <bottom style="medium">
        <color auto="1"/>
      </bottom>
      <diagonal/>
    </border>
    <border>
      <left style="thin">
        <color auto="1"/>
      </left>
      <right/>
      <top style="medium">
        <color auto="1"/>
      </top>
      <bottom style="thin">
        <color auto="1"/>
      </bottom>
      <diagonal/>
    </border>
    <border>
      <left/>
      <right/>
      <top style="thin">
        <color auto="1"/>
      </top>
      <bottom style="thin">
        <color auto="1"/>
      </bottom>
      <diagonal/>
    </border>
    <border>
      <left/>
      <right style="medium">
        <color auto="1"/>
      </right>
      <top style="thin">
        <color auto="1"/>
      </top>
      <bottom style="thin">
        <color auto="1"/>
      </bottom>
      <diagonal/>
    </border>
    <border>
      <left style="medium">
        <color auto="1"/>
      </left>
      <right/>
      <top/>
      <bottom style="medium">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9">
    <xf numFmtId="0" fontId="0" fillId="0" borderId="0"/>
    <xf numFmtId="43" fontId="0" fillId="0" borderId="0" applyFont="0" applyFill="0" applyBorder="0" applyAlignment="0" applyProtection="0"/>
    <xf numFmtId="44" fontId="32" fillId="0" borderId="0" applyFont="0" applyFill="0" applyBorder="0" applyAlignment="0" applyProtection="0">
      <alignment vertical="center"/>
    </xf>
    <xf numFmtId="9" fontId="32" fillId="0" borderId="0" applyFont="0" applyFill="0" applyBorder="0" applyAlignment="0" applyProtection="0">
      <alignment vertical="center"/>
    </xf>
    <xf numFmtId="176" fontId="32" fillId="0" borderId="0" applyFont="0" applyFill="0" applyBorder="0" applyAlignment="0" applyProtection="0">
      <alignment vertical="center"/>
    </xf>
    <xf numFmtId="42" fontId="32" fillId="0" borderId="0" applyFont="0" applyFill="0" applyBorder="0" applyAlignment="0" applyProtection="0">
      <alignment vertical="center"/>
    </xf>
    <xf numFmtId="0" fontId="33" fillId="0" borderId="0" applyNumberFormat="0" applyFill="0" applyBorder="0" applyAlignment="0" applyProtection="0">
      <alignment vertical="center"/>
    </xf>
    <xf numFmtId="0" fontId="34" fillId="0" borderId="0" applyNumberFormat="0" applyFill="0" applyBorder="0" applyAlignment="0" applyProtection="0">
      <alignment vertical="center"/>
    </xf>
    <xf numFmtId="0" fontId="32" fillId="6" borderId="39" applyNumberFormat="0" applyFont="0" applyAlignment="0" applyProtection="0">
      <alignment vertical="center"/>
    </xf>
    <xf numFmtId="0" fontId="35"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37" fillId="0" borderId="0" applyNumberFormat="0" applyFill="0" applyBorder="0" applyAlignment="0" applyProtection="0">
      <alignment vertical="center"/>
    </xf>
    <xf numFmtId="0" fontId="38" fillId="0" borderId="40" applyNumberFormat="0" applyFill="0" applyAlignment="0" applyProtection="0">
      <alignment vertical="center"/>
    </xf>
    <xf numFmtId="0" fontId="39" fillId="0" borderId="40" applyNumberFormat="0" applyFill="0" applyAlignment="0" applyProtection="0">
      <alignment vertical="center"/>
    </xf>
    <xf numFmtId="0" fontId="40" fillId="0" borderId="41" applyNumberFormat="0" applyFill="0" applyAlignment="0" applyProtection="0">
      <alignment vertical="center"/>
    </xf>
    <xf numFmtId="0" fontId="40" fillId="0" borderId="0" applyNumberFormat="0" applyFill="0" applyBorder="0" applyAlignment="0" applyProtection="0">
      <alignment vertical="center"/>
    </xf>
    <xf numFmtId="0" fontId="41" fillId="7" borderId="42" applyNumberFormat="0" applyAlignment="0" applyProtection="0">
      <alignment vertical="center"/>
    </xf>
    <xf numFmtId="0" fontId="42" fillId="8" borderId="43" applyNumberFormat="0" applyAlignment="0" applyProtection="0">
      <alignment vertical="center"/>
    </xf>
    <xf numFmtId="0" fontId="43" fillId="8" borderId="42" applyNumberFormat="0" applyAlignment="0" applyProtection="0">
      <alignment vertical="center"/>
    </xf>
    <xf numFmtId="0" fontId="44" fillId="9" borderId="44" applyNumberFormat="0" applyAlignment="0" applyProtection="0">
      <alignment vertical="center"/>
    </xf>
    <xf numFmtId="0" fontId="45" fillId="0" borderId="45" applyNumberFormat="0" applyFill="0" applyAlignment="0" applyProtection="0">
      <alignment vertical="center"/>
    </xf>
    <xf numFmtId="0" fontId="46" fillId="0" borderId="46" applyNumberFormat="0" applyFill="0" applyAlignment="0" applyProtection="0">
      <alignment vertical="center"/>
    </xf>
    <xf numFmtId="0" fontId="47" fillId="10" borderId="0" applyNumberFormat="0" applyBorder="0" applyAlignment="0" applyProtection="0">
      <alignment vertical="center"/>
    </xf>
    <xf numFmtId="0" fontId="48" fillId="11" borderId="0" applyNumberFormat="0" applyBorder="0" applyAlignment="0" applyProtection="0">
      <alignment vertical="center"/>
    </xf>
    <xf numFmtId="0" fontId="49" fillId="12" borderId="0" applyNumberFormat="0" applyBorder="0" applyAlignment="0" applyProtection="0">
      <alignment vertical="center"/>
    </xf>
    <xf numFmtId="0" fontId="50" fillId="13" borderId="0" applyNumberFormat="0" applyBorder="0" applyAlignment="0" applyProtection="0">
      <alignment vertical="center"/>
    </xf>
    <xf numFmtId="0" fontId="51" fillId="14" borderId="0" applyNumberFormat="0" applyBorder="0" applyAlignment="0" applyProtection="0">
      <alignment vertical="center"/>
    </xf>
    <xf numFmtId="0" fontId="51" fillId="15" borderId="0" applyNumberFormat="0" applyBorder="0" applyAlignment="0" applyProtection="0">
      <alignment vertical="center"/>
    </xf>
    <xf numFmtId="0" fontId="50" fillId="16" borderId="0" applyNumberFormat="0" applyBorder="0" applyAlignment="0" applyProtection="0">
      <alignment vertical="center"/>
    </xf>
    <xf numFmtId="0" fontId="50" fillId="17" borderId="0" applyNumberFormat="0" applyBorder="0" applyAlignment="0" applyProtection="0">
      <alignment vertical="center"/>
    </xf>
    <xf numFmtId="0" fontId="51" fillId="18" borderId="0" applyNumberFormat="0" applyBorder="0" applyAlignment="0" applyProtection="0">
      <alignment vertical="center"/>
    </xf>
    <xf numFmtId="0" fontId="51" fillId="19" borderId="0" applyNumberFormat="0" applyBorder="0" applyAlignment="0" applyProtection="0">
      <alignment vertical="center"/>
    </xf>
    <xf numFmtId="0" fontId="50" fillId="20" borderId="0" applyNumberFormat="0" applyBorder="0" applyAlignment="0" applyProtection="0">
      <alignment vertical="center"/>
    </xf>
    <xf numFmtId="0" fontId="50" fillId="21" borderId="0" applyNumberFormat="0" applyBorder="0" applyAlignment="0" applyProtection="0">
      <alignment vertical="center"/>
    </xf>
    <xf numFmtId="0" fontId="51" fillId="22" borderId="0" applyNumberFormat="0" applyBorder="0" applyAlignment="0" applyProtection="0">
      <alignment vertical="center"/>
    </xf>
    <xf numFmtId="0" fontId="51" fillId="23" borderId="0" applyNumberFormat="0" applyBorder="0" applyAlignment="0" applyProtection="0">
      <alignment vertical="center"/>
    </xf>
    <xf numFmtId="0" fontId="50" fillId="24" borderId="0" applyNumberFormat="0" applyBorder="0" applyAlignment="0" applyProtection="0">
      <alignment vertical="center"/>
    </xf>
    <xf numFmtId="0" fontId="50" fillId="25" borderId="0" applyNumberFormat="0" applyBorder="0" applyAlignment="0" applyProtection="0">
      <alignment vertical="center"/>
    </xf>
    <xf numFmtId="0" fontId="51" fillId="26" borderId="0" applyNumberFormat="0" applyBorder="0" applyAlignment="0" applyProtection="0">
      <alignment vertical="center"/>
    </xf>
    <xf numFmtId="0" fontId="51" fillId="27" borderId="0" applyNumberFormat="0" applyBorder="0" applyAlignment="0" applyProtection="0">
      <alignment vertical="center"/>
    </xf>
    <xf numFmtId="0" fontId="50" fillId="28" borderId="0" applyNumberFormat="0" applyBorder="0" applyAlignment="0" applyProtection="0">
      <alignment vertical="center"/>
    </xf>
    <xf numFmtId="0" fontId="50" fillId="29" borderId="0" applyNumberFormat="0" applyBorder="0" applyAlignment="0" applyProtection="0">
      <alignment vertical="center"/>
    </xf>
    <xf numFmtId="0" fontId="51" fillId="30" borderId="0" applyNumberFormat="0" applyBorder="0" applyAlignment="0" applyProtection="0">
      <alignment vertical="center"/>
    </xf>
    <xf numFmtId="0" fontId="51" fillId="31" borderId="0" applyNumberFormat="0" applyBorder="0" applyAlignment="0" applyProtection="0">
      <alignment vertical="center"/>
    </xf>
    <xf numFmtId="0" fontId="50" fillId="32" borderId="0" applyNumberFormat="0" applyBorder="0" applyAlignment="0" applyProtection="0">
      <alignment vertical="center"/>
    </xf>
    <xf numFmtId="0" fontId="50" fillId="33" borderId="0" applyNumberFormat="0" applyBorder="0" applyAlignment="0" applyProtection="0">
      <alignment vertical="center"/>
    </xf>
    <xf numFmtId="0" fontId="51" fillId="34" borderId="0" applyNumberFormat="0" applyBorder="0" applyAlignment="0" applyProtection="0">
      <alignment vertical="center"/>
    </xf>
    <xf numFmtId="0" fontId="51" fillId="35" borderId="0" applyNumberFormat="0" applyBorder="0" applyAlignment="0" applyProtection="0">
      <alignment vertical="center"/>
    </xf>
    <xf numFmtId="0" fontId="50" fillId="36" borderId="0" applyNumberFormat="0" applyBorder="0" applyAlignment="0" applyProtection="0">
      <alignment vertical="center"/>
    </xf>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0" fontId="53" fillId="0" borderId="0"/>
    <xf numFmtId="0" fontId="52" fillId="0" borderId="0"/>
    <xf numFmtId="0" fontId="52" fillId="0" borderId="0"/>
    <xf numFmtId="0" fontId="52" fillId="0" borderId="0"/>
    <xf numFmtId="0" fontId="0" fillId="0" borderId="0"/>
    <xf numFmtId="0" fontId="0" fillId="0" borderId="0"/>
    <xf numFmtId="0" fontId="0" fillId="0" borderId="0"/>
  </cellStyleXfs>
  <cellXfs count="212">
    <xf numFmtId="0" fontId="0" fillId="0" borderId="0" xfId="0"/>
    <xf numFmtId="0" fontId="1" fillId="0" borderId="0" xfId="56" applyFont="1" applyAlignment="1">
      <alignment horizontal="center" vertical="center"/>
    </xf>
    <xf numFmtId="0" fontId="1" fillId="0" borderId="0" xfId="56" applyFont="1" applyAlignment="1">
      <alignment vertical="center"/>
    </xf>
    <xf numFmtId="0" fontId="1" fillId="0" borderId="0" xfId="56" applyFont="1" applyAlignment="1">
      <alignment horizontal="center" vertical="top"/>
    </xf>
    <xf numFmtId="0" fontId="1" fillId="0" borderId="0" xfId="56" applyFont="1" applyAlignment="1">
      <alignment horizontal="justify" vertical="center" wrapText="1"/>
    </xf>
    <xf numFmtId="0" fontId="1" fillId="0" borderId="0" xfId="56" applyFont="1" applyAlignment="1">
      <alignment vertical="top"/>
    </xf>
    <xf numFmtId="0" fontId="2" fillId="2" borderId="0" xfId="0" applyFont="1" applyFill="1" applyAlignment="1">
      <alignment horizontal="right" vertical="center"/>
    </xf>
    <xf numFmtId="0" fontId="3" fillId="2" borderId="0" xfId="56" applyFont="1" applyFill="1" applyAlignment="1">
      <alignment horizontal="center" vertical="top"/>
    </xf>
    <xf numFmtId="0" fontId="4" fillId="0" borderId="1" xfId="56" applyFont="1" applyBorder="1" applyAlignment="1">
      <alignment horizontal="center" vertical="center"/>
    </xf>
    <xf numFmtId="0" fontId="4" fillId="0" borderId="2" xfId="56" applyFont="1" applyBorder="1" applyAlignment="1">
      <alignment horizontal="justify" vertical="center" wrapText="1"/>
    </xf>
    <xf numFmtId="0" fontId="4" fillId="0" borderId="2" xfId="56" applyFont="1" applyBorder="1" applyAlignment="1">
      <alignment horizontal="center" vertical="center"/>
    </xf>
    <xf numFmtId="0" fontId="5" fillId="3" borderId="2" xfId="0" applyFont="1" applyFill="1" applyBorder="1" applyAlignment="1">
      <alignment vertical="center" wrapText="1"/>
    </xf>
    <xf numFmtId="0" fontId="5" fillId="3" borderId="3" xfId="0" applyFont="1" applyFill="1" applyBorder="1" applyAlignment="1">
      <alignment vertical="center" wrapText="1"/>
    </xf>
    <xf numFmtId="0" fontId="4" fillId="0" borderId="4" xfId="56" applyFont="1" applyBorder="1" applyAlignment="1">
      <alignment horizontal="center" vertical="center"/>
    </xf>
    <xf numFmtId="0" fontId="4" fillId="0" borderId="5" xfId="56" applyFont="1" applyBorder="1" applyAlignment="1">
      <alignment horizontal="justify" vertical="center" wrapText="1"/>
    </xf>
    <xf numFmtId="0" fontId="6" fillId="0" borderId="5" xfId="56" applyFont="1" applyBorder="1" applyAlignment="1">
      <alignment horizontal="center" vertical="center" wrapText="1"/>
    </xf>
    <xf numFmtId="0" fontId="6" fillId="0" borderId="5" xfId="56" applyFont="1" applyBorder="1" applyAlignment="1">
      <alignment horizontal="center" vertical="center"/>
    </xf>
    <xf numFmtId="0" fontId="6" fillId="0" borderId="6" xfId="56" applyFont="1" applyBorder="1" applyAlignment="1">
      <alignment horizontal="center" vertical="center"/>
    </xf>
    <xf numFmtId="0" fontId="7" fillId="0" borderId="4" xfId="56" applyFont="1" applyBorder="1" applyAlignment="1">
      <alignment horizontal="center" vertical="center"/>
    </xf>
    <xf numFmtId="0" fontId="7" fillId="0" borderId="5" xfId="56" applyFont="1" applyBorder="1" applyAlignment="1">
      <alignment horizontal="justify" vertical="center" wrapText="1"/>
    </xf>
    <xf numFmtId="0" fontId="6" fillId="0" borderId="5" xfId="56" applyFont="1" applyBorder="1" applyAlignment="1">
      <alignment vertical="center"/>
    </xf>
    <xf numFmtId="0" fontId="6" fillId="0" borderId="6" xfId="56" applyFont="1" applyBorder="1" applyAlignment="1">
      <alignment vertical="center"/>
    </xf>
    <xf numFmtId="0" fontId="6" fillId="0" borderId="4" xfId="56" applyFont="1" applyBorder="1" applyAlignment="1">
      <alignment horizontal="center" vertical="center"/>
    </xf>
    <xf numFmtId="0" fontId="8" fillId="0" borderId="5" xfId="56" applyFont="1" applyBorder="1" applyAlignment="1">
      <alignment horizontal="justify" vertical="center" wrapText="1"/>
    </xf>
    <xf numFmtId="0" fontId="6" fillId="0" borderId="5" xfId="56" applyFont="1" applyBorder="1" applyAlignment="1">
      <alignment vertical="top"/>
    </xf>
    <xf numFmtId="0" fontId="6" fillId="0" borderId="6" xfId="56" applyFont="1" applyBorder="1" applyAlignment="1">
      <alignment vertical="top"/>
    </xf>
    <xf numFmtId="0" fontId="6" fillId="0" borderId="5" xfId="56" applyFont="1" applyBorder="1" applyAlignment="1">
      <alignment horizontal="justify" vertical="center" wrapText="1"/>
    </xf>
    <xf numFmtId="0" fontId="6" fillId="0" borderId="7" xfId="56" applyFont="1" applyBorder="1" applyAlignment="1">
      <alignment horizontal="justify" vertical="center" wrapText="1"/>
    </xf>
    <xf numFmtId="0" fontId="6" fillId="0" borderId="8" xfId="56" applyFont="1" applyBorder="1" applyAlignment="1">
      <alignment horizontal="justify" vertical="center" wrapText="1"/>
    </xf>
    <xf numFmtId="0" fontId="6" fillId="0" borderId="9" xfId="56" applyFont="1" applyBorder="1" applyAlignment="1">
      <alignment horizontal="justify" vertical="center" wrapText="1"/>
    </xf>
    <xf numFmtId="0" fontId="9" fillId="0" borderId="10" xfId="0" applyFont="1" applyBorder="1" applyAlignment="1">
      <alignment horizontal="center" vertical="center" wrapText="1"/>
    </xf>
    <xf numFmtId="0" fontId="10" fillId="0" borderId="11" xfId="0" applyFont="1" applyBorder="1" applyAlignment="1">
      <alignment horizontal="justify" vertical="center" wrapText="1"/>
    </xf>
    <xf numFmtId="0" fontId="10" fillId="0" borderId="12" xfId="0" applyFont="1" applyBorder="1" applyAlignment="1">
      <alignment horizontal="justify" vertical="center" wrapText="1"/>
    </xf>
    <xf numFmtId="0" fontId="11" fillId="0" borderId="0" xfId="0" applyFont="1" applyAlignment="1">
      <alignment horizontal="center" vertical="center"/>
    </xf>
    <xf numFmtId="0" fontId="11" fillId="0" borderId="0" xfId="0" applyFont="1" applyAlignment="1">
      <alignment horizontal="left"/>
    </xf>
    <xf numFmtId="0" fontId="11" fillId="0" borderId="0" xfId="0" applyFont="1" applyAlignment="1">
      <alignment horizontal="justify" vertical="center" wrapText="1"/>
    </xf>
    <xf numFmtId="0" fontId="11" fillId="0" borderId="0" xfId="0" applyFont="1"/>
    <xf numFmtId="0" fontId="3" fillId="0" borderId="0" xfId="0" applyFont="1" applyAlignment="1">
      <alignment horizontal="right"/>
    </xf>
    <xf numFmtId="0" fontId="12" fillId="0" borderId="13" xfId="0" applyFont="1" applyBorder="1" applyAlignment="1">
      <alignment horizontal="center" vertical="center"/>
    </xf>
    <xf numFmtId="0" fontId="12" fillId="0" borderId="14" xfId="0" applyFont="1" applyBorder="1" applyAlignment="1">
      <alignment horizontal="center" vertical="center"/>
    </xf>
    <xf numFmtId="0" fontId="12" fillId="0" borderId="15" xfId="0" applyFont="1" applyBorder="1" applyAlignment="1">
      <alignment horizontal="center" vertical="center"/>
    </xf>
    <xf numFmtId="0" fontId="5" fillId="3" borderId="1" xfId="0" applyFont="1" applyFill="1" applyBorder="1" applyAlignment="1">
      <alignment horizontal="center" vertical="center"/>
    </xf>
    <xf numFmtId="0" fontId="13" fillId="3" borderId="16" xfId="53" applyFont="1" applyFill="1" applyBorder="1" applyAlignment="1">
      <alignment horizontal="left" vertical="center"/>
    </xf>
    <xf numFmtId="0" fontId="13" fillId="3" borderId="16" xfId="53" applyFont="1" applyFill="1" applyBorder="1" applyAlignment="1">
      <alignment horizontal="justify" vertical="center" wrapText="1"/>
    </xf>
    <xf numFmtId="0" fontId="13" fillId="3" borderId="16" xfId="53" applyFont="1" applyFill="1" applyBorder="1" applyAlignment="1">
      <alignment horizontal="center" vertical="center" wrapText="1"/>
    </xf>
    <xf numFmtId="0" fontId="5" fillId="3" borderId="4" xfId="0" applyFont="1" applyFill="1" applyBorder="1" applyAlignment="1">
      <alignment horizontal="center" vertical="center"/>
    </xf>
    <xf numFmtId="0" fontId="13" fillId="3" borderId="17" xfId="53" applyFont="1" applyFill="1" applyBorder="1" applyAlignment="1">
      <alignment horizontal="left" vertical="center"/>
    </xf>
    <xf numFmtId="0" fontId="13" fillId="3" borderId="17" xfId="53" applyFont="1" applyFill="1" applyBorder="1" applyAlignment="1">
      <alignment horizontal="justify" vertical="center" wrapText="1"/>
    </xf>
    <xf numFmtId="0" fontId="13" fillId="3" borderId="17" xfId="53" applyFont="1" applyFill="1" applyBorder="1" applyAlignment="1">
      <alignment horizontal="center" vertical="center" wrapText="1"/>
    </xf>
    <xf numFmtId="0" fontId="5" fillId="3" borderId="5" xfId="0" applyFont="1" applyFill="1" applyBorder="1" applyAlignment="1">
      <alignment horizontal="center" vertical="center" wrapText="1"/>
    </xf>
    <xf numFmtId="0" fontId="1" fillId="0" borderId="4" xfId="0" applyFont="1" applyBorder="1" applyAlignment="1">
      <alignment horizontal="center" vertical="center"/>
    </xf>
    <xf numFmtId="0" fontId="1" fillId="0" borderId="5" xfId="0" applyFont="1" applyBorder="1" applyAlignment="1">
      <alignment horizontal="left" vertical="center" wrapText="1"/>
    </xf>
    <xf numFmtId="0" fontId="1" fillId="0" borderId="5" xfId="0" applyFont="1" applyBorder="1" applyAlignment="1">
      <alignment horizontal="justify" vertical="center" wrapText="1"/>
    </xf>
    <xf numFmtId="0" fontId="1" fillId="0" borderId="5" xfId="0" applyFont="1" applyBorder="1" applyAlignment="1">
      <alignment horizontal="center" vertical="center"/>
    </xf>
    <xf numFmtId="0" fontId="1" fillId="0" borderId="5" xfId="0" applyFont="1" applyBorder="1"/>
    <xf numFmtId="0" fontId="1" fillId="0" borderId="7" xfId="0" applyFont="1" applyBorder="1" applyAlignment="1">
      <alignment horizontal="center" vertical="center"/>
    </xf>
    <xf numFmtId="0" fontId="1" fillId="0" borderId="8" xfId="0" applyFont="1" applyBorder="1" applyAlignment="1">
      <alignment horizontal="center" vertical="center"/>
    </xf>
    <xf numFmtId="0" fontId="1" fillId="0" borderId="0" xfId="0" applyFont="1" applyAlignment="1">
      <alignment horizontal="center" vertical="center"/>
    </xf>
    <xf numFmtId="0" fontId="1" fillId="0" borderId="0" xfId="0" applyFont="1"/>
    <xf numFmtId="0" fontId="1" fillId="0" borderId="18" xfId="0" applyFont="1" applyBorder="1"/>
    <xf numFmtId="0" fontId="9" fillId="0" borderId="19" xfId="0" applyFont="1" applyBorder="1" applyAlignment="1">
      <alignment horizontal="center" vertical="center" wrapText="1"/>
    </xf>
    <xf numFmtId="0" fontId="9" fillId="0" borderId="20" xfId="0" applyFont="1" applyBorder="1" applyAlignment="1">
      <alignment horizontal="justify" vertical="center" wrapText="1"/>
    </xf>
    <xf numFmtId="0" fontId="9" fillId="0" borderId="21" xfId="0" applyFont="1" applyBorder="1" applyAlignment="1">
      <alignment horizontal="justify" vertical="center" wrapText="1"/>
    </xf>
    <xf numFmtId="0" fontId="9" fillId="0" borderId="22" xfId="0" applyFont="1" applyBorder="1" applyAlignment="1">
      <alignment horizontal="justify" vertical="center" wrapText="1"/>
    </xf>
    <xf numFmtId="0" fontId="14" fillId="0" borderId="0" xfId="0" applyFont="1" applyAlignment="1">
      <alignment horizontal="center" vertical="center"/>
    </xf>
    <xf numFmtId="0" fontId="14" fillId="0" borderId="0" xfId="0" applyFont="1" applyAlignment="1">
      <alignment horizontal="left"/>
    </xf>
    <xf numFmtId="0" fontId="14" fillId="0" borderId="0" xfId="0" applyFont="1" applyAlignment="1">
      <alignment horizontal="justify" vertical="center" wrapText="1"/>
    </xf>
    <xf numFmtId="0" fontId="14" fillId="0" borderId="0" xfId="0" applyFont="1"/>
    <xf numFmtId="0" fontId="3" fillId="2" borderId="21" xfId="0" applyFont="1" applyFill="1" applyBorder="1" applyAlignment="1">
      <alignment horizontal="center" vertical="center"/>
    </xf>
    <xf numFmtId="0" fontId="15" fillId="2" borderId="21" xfId="0" applyFont="1" applyFill="1" applyBorder="1" applyAlignment="1">
      <alignment horizontal="center" vertical="center"/>
    </xf>
    <xf numFmtId="0" fontId="16" fillId="3" borderId="1" xfId="0" applyFont="1" applyFill="1" applyBorder="1" applyAlignment="1">
      <alignment horizontal="center" vertical="center" wrapText="1"/>
    </xf>
    <xf numFmtId="0" fontId="17" fillId="3" borderId="16" xfId="53" applyFont="1" applyFill="1" applyBorder="1" applyAlignment="1">
      <alignment horizontal="left" vertical="center"/>
    </xf>
    <xf numFmtId="0" fontId="17" fillId="3" borderId="16" xfId="53" applyFont="1" applyFill="1" applyBorder="1" applyAlignment="1">
      <alignment horizontal="justify" vertical="center" wrapText="1"/>
    </xf>
    <xf numFmtId="0" fontId="17" fillId="3" borderId="16" xfId="53" applyFont="1" applyFill="1" applyBorder="1" applyAlignment="1">
      <alignment horizontal="center" vertical="center" wrapText="1"/>
    </xf>
    <xf numFmtId="0" fontId="18" fillId="3" borderId="5" xfId="0" applyFont="1" applyFill="1" applyBorder="1" applyAlignment="1">
      <alignment horizontal="center" vertical="center" wrapText="1"/>
    </xf>
    <xf numFmtId="0" fontId="16" fillId="3" borderId="23" xfId="0" applyFont="1" applyFill="1" applyBorder="1" applyAlignment="1">
      <alignment horizontal="center" vertical="center" wrapText="1"/>
    </xf>
    <xf numFmtId="0" fontId="17" fillId="3" borderId="24" xfId="53" applyFont="1" applyFill="1" applyBorder="1" applyAlignment="1">
      <alignment horizontal="left" vertical="center"/>
    </xf>
    <xf numFmtId="0" fontId="17" fillId="3" borderId="24" xfId="53" applyFont="1" applyFill="1" applyBorder="1" applyAlignment="1">
      <alignment horizontal="justify" vertical="center" wrapText="1"/>
    </xf>
    <xf numFmtId="0" fontId="17" fillId="3" borderId="24" xfId="53" applyFont="1" applyFill="1" applyBorder="1" applyAlignment="1">
      <alignment horizontal="center" vertical="center" wrapText="1"/>
    </xf>
    <xf numFmtId="0" fontId="19" fillId="0" borderId="4" xfId="0" applyFont="1" applyBorder="1" applyAlignment="1">
      <alignment horizontal="center" vertical="center"/>
    </xf>
    <xf numFmtId="0" fontId="20" fillId="0" borderId="5" xfId="55" applyFont="1" applyBorder="1" applyAlignment="1">
      <alignment horizontal="left" vertical="center" wrapText="1"/>
    </xf>
    <xf numFmtId="0" fontId="19" fillId="0" borderId="5" xfId="55" applyFont="1" applyBorder="1" applyAlignment="1">
      <alignment horizontal="justify" vertical="center" wrapText="1"/>
    </xf>
    <xf numFmtId="0" fontId="19" fillId="0" borderId="5" xfId="55" applyFont="1" applyBorder="1" applyAlignment="1">
      <alignment horizontal="center" vertical="center"/>
    </xf>
    <xf numFmtId="0" fontId="19" fillId="0" borderId="5" xfId="0" applyFont="1" applyBorder="1"/>
    <xf numFmtId="0" fontId="19" fillId="0" borderId="6" xfId="0" applyFont="1" applyBorder="1"/>
    <xf numFmtId="0" fontId="20" fillId="0" borderId="5" xfId="55" applyFont="1" applyBorder="1" applyAlignment="1">
      <alignment horizontal="justify" vertical="center" wrapText="1"/>
    </xf>
    <xf numFmtId="0" fontId="14" fillId="0" borderId="0" xfId="0" applyFont="1" applyAlignment="1">
      <alignment wrapText="1"/>
    </xf>
    <xf numFmtId="0" fontId="21" fillId="0" borderId="5" xfId="55" applyFont="1" applyBorder="1" applyAlignment="1">
      <alignment horizontal="justify" vertical="center" wrapText="1"/>
    </xf>
    <xf numFmtId="0" fontId="21" fillId="0" borderId="5" xfId="55" applyFont="1" applyBorder="1" applyAlignment="1">
      <alignment horizontal="left" vertical="center" wrapText="1"/>
    </xf>
    <xf numFmtId="0" fontId="19" fillId="0" borderId="5" xfId="55" applyFont="1" applyBorder="1" applyAlignment="1">
      <alignment horizontal="left" vertical="center" wrapText="1"/>
    </xf>
    <xf numFmtId="0" fontId="21" fillId="0" borderId="4" xfId="0" applyFont="1" applyBorder="1" applyAlignment="1">
      <alignment horizontal="center" vertical="center"/>
    </xf>
    <xf numFmtId="0" fontId="21" fillId="2" borderId="5" xfId="55" applyFont="1" applyFill="1" applyBorder="1" applyAlignment="1">
      <alignment horizontal="justify" vertical="center" wrapText="1"/>
    </xf>
    <xf numFmtId="0" fontId="21" fillId="0" borderId="5" xfId="55" applyFont="1" applyBorder="1" applyAlignment="1">
      <alignment horizontal="center" vertical="center"/>
    </xf>
    <xf numFmtId="0" fontId="22" fillId="0" borderId="5" xfId="0" applyFont="1" applyBorder="1"/>
    <xf numFmtId="0" fontId="22" fillId="0" borderId="6" xfId="0" applyFont="1" applyBorder="1"/>
    <xf numFmtId="0" fontId="19" fillId="2" borderId="5" xfId="55" applyFont="1" applyFill="1" applyBorder="1" applyAlignment="1">
      <alignment horizontal="left" vertical="center" wrapText="1"/>
    </xf>
    <xf numFmtId="0" fontId="22" fillId="0" borderId="5" xfId="55" applyFont="1" applyBorder="1" applyAlignment="1">
      <alignment horizontal="justify" vertical="center" wrapText="1"/>
    </xf>
    <xf numFmtId="0" fontId="23" fillId="4" borderId="0" xfId="0" applyFont="1" applyFill="1" applyAlignment="1">
      <alignment wrapText="1"/>
    </xf>
    <xf numFmtId="0" fontId="14" fillId="4" borderId="0" xfId="0" applyFont="1" applyFill="1"/>
    <xf numFmtId="0" fontId="21" fillId="0" borderId="5" xfId="0" applyFont="1" applyBorder="1" applyAlignment="1">
      <alignment horizontal="left" vertical="center" wrapText="1"/>
    </xf>
    <xf numFmtId="0" fontId="21" fillId="0" borderId="5" xfId="0" applyFont="1" applyBorder="1" applyAlignment="1">
      <alignment horizontal="justify" vertical="center" wrapText="1"/>
    </xf>
    <xf numFmtId="0" fontId="19" fillId="0" borderId="5" xfId="0" applyFont="1" applyBorder="1" applyAlignment="1">
      <alignment horizontal="center" vertical="center" wrapText="1"/>
    </xf>
    <xf numFmtId="0" fontId="16" fillId="0" borderId="23" xfId="0" applyFont="1" applyBorder="1" applyAlignment="1">
      <alignment horizontal="center"/>
    </xf>
    <xf numFmtId="0" fontId="16" fillId="0" borderId="25" xfId="0" applyFont="1" applyBorder="1" applyAlignment="1">
      <alignment horizontal="center"/>
    </xf>
    <xf numFmtId="0" fontId="19" fillId="0" borderId="25" xfId="0" applyFont="1" applyBorder="1" applyAlignment="1">
      <alignment horizontal="center" vertical="center" wrapText="1"/>
    </xf>
    <xf numFmtId="0" fontId="19" fillId="0" borderId="25" xfId="0" applyFont="1" applyBorder="1"/>
    <xf numFmtId="0" fontId="19" fillId="0" borderId="26" xfId="0" applyFont="1" applyBorder="1"/>
    <xf numFmtId="0" fontId="9" fillId="0" borderId="27" xfId="0" applyFont="1" applyBorder="1" applyAlignment="1">
      <alignment horizontal="justify" vertical="center" wrapText="1"/>
    </xf>
    <xf numFmtId="0" fontId="9" fillId="0" borderId="14" xfId="0" applyFont="1" applyBorder="1" applyAlignment="1">
      <alignment horizontal="justify" vertical="center" wrapText="1"/>
    </xf>
    <xf numFmtId="0" fontId="9" fillId="0" borderId="15" xfId="0" applyFont="1" applyBorder="1" applyAlignment="1">
      <alignment horizontal="justify" vertical="center" wrapText="1"/>
    </xf>
    <xf numFmtId="0" fontId="19" fillId="0" borderId="0" xfId="0" applyFont="1" applyAlignment="1">
      <alignment horizontal="center" vertical="center"/>
    </xf>
    <xf numFmtId="0" fontId="19" fillId="0" borderId="0" xfId="0" applyFont="1" applyAlignment="1">
      <alignment horizontal="left"/>
    </xf>
    <xf numFmtId="0" fontId="19" fillId="0" borderId="0" xfId="0" applyFont="1" applyAlignment="1">
      <alignment horizontal="justify" vertical="center" wrapText="1"/>
    </xf>
    <xf numFmtId="0" fontId="19" fillId="0" borderId="0" xfId="0" applyFont="1"/>
    <xf numFmtId="0" fontId="0" fillId="0" borderId="0" xfId="0" applyAlignment="1">
      <alignment horizontal="center" vertical="center"/>
    </xf>
    <xf numFmtId="0" fontId="0" fillId="0" borderId="0" xfId="0" applyAlignment="1">
      <alignment horizontal="left"/>
    </xf>
    <xf numFmtId="0" fontId="0" fillId="0" borderId="0" xfId="0" applyAlignment="1">
      <alignment horizontal="justify" vertical="center" wrapText="1"/>
    </xf>
    <xf numFmtId="0" fontId="4" fillId="0" borderId="0" xfId="0" applyFont="1" applyAlignment="1">
      <alignment horizontal="right"/>
    </xf>
    <xf numFmtId="0" fontId="24" fillId="0" borderId="13" xfId="0" applyFont="1" applyBorder="1" applyAlignment="1">
      <alignment horizontal="center" vertical="center"/>
    </xf>
    <xf numFmtId="0" fontId="24" fillId="0" borderId="14" xfId="0" applyFont="1" applyBorder="1" applyAlignment="1">
      <alignment horizontal="center" vertical="center"/>
    </xf>
    <xf numFmtId="0" fontId="24" fillId="0" borderId="15" xfId="0" applyFont="1" applyBorder="1" applyAlignment="1">
      <alignment horizontal="center" vertical="center"/>
    </xf>
    <xf numFmtId="0" fontId="25" fillId="0" borderId="5" xfId="0" applyFont="1" applyBorder="1" applyAlignment="1">
      <alignment horizontal="left" vertical="center" wrapText="1"/>
    </xf>
    <xf numFmtId="0" fontId="26" fillId="0" borderId="5" xfId="0" applyFont="1" applyBorder="1" applyAlignment="1">
      <alignment horizontal="justify" vertical="center" wrapText="1"/>
    </xf>
    <xf numFmtId="0" fontId="25" fillId="0" borderId="28" xfId="0" applyFont="1" applyBorder="1" applyAlignment="1">
      <alignment horizontal="center" vertical="center" wrapText="1"/>
    </xf>
    <xf numFmtId="0" fontId="0" fillId="0" borderId="5" xfId="0" applyBorder="1"/>
    <xf numFmtId="0" fontId="25" fillId="0" borderId="5" xfId="0" applyFont="1" applyBorder="1" applyAlignment="1">
      <alignment horizontal="justify" vertical="center" wrapText="1"/>
    </xf>
    <xf numFmtId="0" fontId="27" fillId="0" borderId="5" xfId="0" applyFont="1" applyBorder="1" applyAlignment="1">
      <alignment horizontal="center" vertical="center"/>
    </xf>
    <xf numFmtId="0" fontId="0" fillId="0" borderId="5" xfId="0" applyBorder="1" applyAlignment="1">
      <alignment wrapText="1"/>
    </xf>
    <xf numFmtId="0" fontId="1" fillId="0" borderId="5" xfId="0" applyFont="1" applyBorder="1" applyAlignment="1">
      <alignment horizontal="center" vertical="center" wrapText="1"/>
    </xf>
    <xf numFmtId="0" fontId="0" fillId="4" borderId="5" xfId="0" applyFill="1" applyBorder="1" applyAlignment="1">
      <alignment wrapText="1"/>
    </xf>
    <xf numFmtId="0" fontId="28" fillId="4" borderId="5" xfId="0" applyFont="1" applyFill="1" applyBorder="1" applyAlignment="1">
      <alignment horizontal="left" vertical="center" wrapText="1"/>
    </xf>
    <xf numFmtId="0" fontId="28" fillId="4" borderId="5" xfId="0" applyFont="1" applyFill="1" applyBorder="1" applyAlignment="1">
      <alignment horizontal="center" vertical="center" wrapText="1"/>
    </xf>
    <xf numFmtId="0" fontId="26" fillId="0" borderId="5" xfId="0" applyFont="1" applyBorder="1" applyAlignment="1">
      <alignment horizontal="left" vertical="center" wrapText="1"/>
    </xf>
    <xf numFmtId="0" fontId="1" fillId="0" borderId="28" xfId="0" applyFont="1" applyBorder="1" applyAlignment="1">
      <alignment horizontal="center" vertical="center" wrapText="1"/>
    </xf>
    <xf numFmtId="177" fontId="1" fillId="0" borderId="5" xfId="1" applyNumberFormat="1" applyFont="1" applyBorder="1" applyAlignment="1">
      <alignment horizontal="center" vertical="center"/>
    </xf>
    <xf numFmtId="177" fontId="0" fillId="0" borderId="5" xfId="1" applyNumberFormat="1" applyFont="1" applyBorder="1"/>
    <xf numFmtId="0" fontId="26" fillId="0" borderId="25" xfId="0" applyFont="1" applyBorder="1" applyAlignment="1">
      <alignment horizontal="left" vertical="center" wrapText="1"/>
    </xf>
    <xf numFmtId="0" fontId="26" fillId="0" borderId="25" xfId="0" applyFont="1" applyBorder="1" applyAlignment="1">
      <alignment horizontal="justify" vertical="center" wrapText="1"/>
    </xf>
    <xf numFmtId="0" fontId="1" fillId="0" borderId="29" xfId="0" applyFont="1" applyBorder="1" applyAlignment="1">
      <alignment horizontal="center" vertical="center" wrapText="1"/>
    </xf>
    <xf numFmtId="0" fontId="5" fillId="0" borderId="30" xfId="0" applyFont="1" applyBorder="1" applyAlignment="1">
      <alignment horizontal="center" vertical="center" wrapText="1"/>
    </xf>
    <xf numFmtId="0" fontId="5" fillId="0" borderId="31" xfId="0" applyFont="1" applyBorder="1" applyAlignment="1">
      <alignment horizontal="center" vertical="center" wrapText="1"/>
    </xf>
    <xf numFmtId="0" fontId="5" fillId="0" borderId="27" xfId="0" applyFont="1" applyBorder="1" applyAlignment="1">
      <alignment horizontal="center" vertical="center" wrapText="1"/>
    </xf>
    <xf numFmtId="0" fontId="1" fillId="0" borderId="32" xfId="0" applyFont="1" applyBorder="1" applyAlignment="1">
      <alignment horizontal="center" vertical="center"/>
    </xf>
    <xf numFmtId="0" fontId="1" fillId="0" borderId="14" xfId="0" applyFont="1" applyBorder="1" applyAlignment="1">
      <alignment horizontal="center" vertical="center"/>
    </xf>
    <xf numFmtId="0" fontId="1" fillId="0" borderId="31" xfId="0" applyFont="1" applyBorder="1"/>
    <xf numFmtId="0" fontId="1" fillId="0" borderId="27" xfId="0" applyFont="1" applyBorder="1"/>
    <xf numFmtId="0" fontId="1" fillId="0" borderId="33" xfId="0" applyFont="1" applyBorder="1"/>
    <xf numFmtId="0" fontId="9" fillId="0" borderId="11" xfId="0" applyFont="1" applyBorder="1" applyAlignment="1">
      <alignment horizontal="justify" vertical="center" wrapText="1"/>
    </xf>
    <xf numFmtId="0" fontId="9" fillId="0" borderId="34" xfId="0" applyFont="1" applyBorder="1" applyAlignment="1">
      <alignment horizontal="justify" vertical="center" wrapText="1"/>
    </xf>
    <xf numFmtId="0" fontId="9" fillId="0" borderId="12" xfId="0" applyFont="1" applyBorder="1" applyAlignment="1">
      <alignment horizontal="justify" vertical="center" wrapText="1"/>
    </xf>
    <xf numFmtId="0" fontId="1" fillId="0" borderId="0" xfId="0" applyFont="1" applyAlignment="1">
      <alignment vertical="center"/>
    </xf>
    <xf numFmtId="0" fontId="1" fillId="0" borderId="0" xfId="0" applyFont="1" applyAlignment="1">
      <alignment horizontal="justify" vertical="center" wrapText="1"/>
    </xf>
    <xf numFmtId="0" fontId="12" fillId="0" borderId="0" xfId="0" applyFont="1" applyAlignment="1">
      <alignment horizontal="right"/>
    </xf>
    <xf numFmtId="0" fontId="12" fillId="0" borderId="1" xfId="0" applyFont="1" applyBorder="1" applyAlignment="1">
      <alignment horizontal="center"/>
    </xf>
    <xf numFmtId="0" fontId="12" fillId="0" borderId="2" xfId="0" applyFont="1" applyBorder="1" applyAlignment="1">
      <alignment horizontal="center"/>
    </xf>
    <xf numFmtId="0" fontId="12" fillId="0" borderId="35" xfId="0" applyFont="1" applyBorder="1" applyAlignment="1">
      <alignment horizontal="center"/>
    </xf>
    <xf numFmtId="0" fontId="12" fillId="0" borderId="3" xfId="0" applyFont="1" applyBorder="1" applyAlignment="1">
      <alignment horizontal="center"/>
    </xf>
    <xf numFmtId="0" fontId="13" fillId="3" borderId="5" xfId="53" applyFont="1" applyFill="1" applyBorder="1" applyAlignment="1">
      <alignment horizontal="center" vertical="center"/>
    </xf>
    <xf numFmtId="0" fontId="13" fillId="3" borderId="5" xfId="53" applyFont="1" applyFill="1" applyBorder="1" applyAlignment="1">
      <alignment horizontal="justify" vertical="center" wrapText="1"/>
    </xf>
    <xf numFmtId="0" fontId="13" fillId="3" borderId="5" xfId="53" applyFont="1" applyFill="1" applyBorder="1" applyAlignment="1">
      <alignment horizontal="center" vertical="center" wrapText="1"/>
    </xf>
    <xf numFmtId="0" fontId="5" fillId="3" borderId="28" xfId="0" applyFont="1" applyFill="1" applyBorder="1" applyAlignment="1">
      <alignment horizontal="center" vertical="center" wrapText="1"/>
    </xf>
    <xf numFmtId="0" fontId="5" fillId="3" borderId="36" xfId="0" applyFont="1" applyFill="1" applyBorder="1" applyAlignment="1">
      <alignment horizontal="center" vertical="center" wrapText="1"/>
    </xf>
    <xf numFmtId="0" fontId="5" fillId="3" borderId="37" xfId="0" applyFont="1" applyFill="1" applyBorder="1" applyAlignment="1">
      <alignment horizontal="center" vertical="center" wrapText="1"/>
    </xf>
    <xf numFmtId="0" fontId="13" fillId="3" borderId="5" xfId="55" applyFont="1" applyFill="1" applyBorder="1" applyAlignment="1">
      <alignment horizontal="center" vertical="center" wrapText="1"/>
    </xf>
    <xf numFmtId="0" fontId="5" fillId="2" borderId="4" xfId="0" applyFont="1" applyFill="1" applyBorder="1" applyAlignment="1">
      <alignment horizontal="center" vertical="center"/>
    </xf>
    <xf numFmtId="0" fontId="26" fillId="2" borderId="5" xfId="53" applyFont="1" applyFill="1" applyBorder="1" applyAlignment="1">
      <alignment horizontal="left" vertical="center"/>
    </xf>
    <xf numFmtId="0" fontId="13" fillId="2" borderId="5" xfId="53"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28" xfId="0" applyFont="1" applyFill="1" applyBorder="1" applyAlignment="1">
      <alignment horizontal="center" vertical="center" wrapText="1"/>
    </xf>
    <xf numFmtId="0" fontId="13" fillId="2" borderId="5" xfId="55" applyFont="1" applyFill="1" applyBorder="1" applyAlignment="1">
      <alignment horizontal="center" vertical="center" wrapText="1"/>
    </xf>
    <xf numFmtId="0" fontId="1" fillId="0" borderId="6" xfId="0" applyFont="1" applyBorder="1"/>
    <xf numFmtId="0" fontId="26" fillId="2" borderId="5" xfId="53" applyFont="1" applyFill="1" applyBorder="1" applyAlignment="1">
      <alignment vertical="center" wrapText="1"/>
    </xf>
    <xf numFmtId="0" fontId="26" fillId="2" borderId="5" xfId="53" applyFont="1" applyFill="1" applyBorder="1" applyAlignment="1">
      <alignment horizontal="justify" vertical="center" wrapText="1"/>
    </xf>
    <xf numFmtId="0" fontId="26" fillId="0" borderId="5" xfId="53" applyFont="1" applyBorder="1" applyAlignment="1">
      <alignment horizontal="center" vertical="center"/>
    </xf>
    <xf numFmtId="0" fontId="1" fillId="0" borderId="5" xfId="0" applyFont="1" applyBorder="1" applyAlignment="1">
      <alignment horizontal="center"/>
    </xf>
    <xf numFmtId="0" fontId="1" fillId="0" borderId="28" xfId="0" applyFont="1" applyBorder="1" applyAlignment="1">
      <alignment wrapText="1"/>
    </xf>
    <xf numFmtId="0" fontId="1" fillId="0" borderId="6" xfId="0" applyFont="1" applyBorder="1" applyAlignment="1">
      <alignment horizontal="left" vertical="top" wrapText="1"/>
    </xf>
    <xf numFmtId="0" fontId="1" fillId="0" borderId="28" xfId="0" applyFont="1" applyBorder="1"/>
    <xf numFmtId="0" fontId="29" fillId="0" borderId="6" xfId="0" applyFont="1" applyBorder="1" applyAlignment="1">
      <alignment vertical="top" wrapText="1"/>
    </xf>
    <xf numFmtId="0" fontId="25" fillId="0" borderId="5" xfId="0" applyFont="1" applyBorder="1" applyAlignment="1">
      <alignment horizontal="center"/>
    </xf>
    <xf numFmtId="0" fontId="1" fillId="0" borderId="28" xfId="0" applyFont="1" applyBorder="1" applyAlignment="1">
      <alignment vertical="top" wrapText="1"/>
    </xf>
    <xf numFmtId="0" fontId="1" fillId="0" borderId="6" xfId="0" applyFont="1" applyBorder="1" applyAlignment="1">
      <alignment wrapText="1"/>
    </xf>
    <xf numFmtId="0" fontId="1" fillId="4" borderId="28" xfId="0" applyFont="1" applyFill="1" applyBorder="1" applyAlignment="1">
      <alignment wrapText="1"/>
    </xf>
    <xf numFmtId="0" fontId="5" fillId="0" borderId="4" xfId="0" applyFont="1" applyBorder="1" applyAlignment="1">
      <alignment vertical="center"/>
    </xf>
    <xf numFmtId="0" fontId="5" fillId="0" borderId="5" xfId="0" applyFont="1" applyBorder="1" applyAlignment="1">
      <alignment horizontal="left" vertical="center"/>
    </xf>
    <xf numFmtId="0" fontId="25" fillId="0" borderId="5" xfId="0" applyFont="1" applyBorder="1" applyAlignment="1">
      <alignment horizontal="center" vertical="center"/>
    </xf>
    <xf numFmtId="0" fontId="26" fillId="0" borderId="5" xfId="53" applyFont="1" applyBorder="1" applyAlignment="1">
      <alignment vertical="center" wrapText="1"/>
    </xf>
    <xf numFmtId="0" fontId="26" fillId="0" borderId="5" xfId="53" applyFont="1" applyBorder="1" applyAlignment="1">
      <alignment horizontal="justify" vertical="center" wrapText="1"/>
    </xf>
    <xf numFmtId="0" fontId="1" fillId="0" borderId="0" xfId="0" applyFont="1" applyAlignment="1">
      <alignment wrapText="1"/>
    </xf>
    <xf numFmtId="0" fontId="28" fillId="0" borderId="5" xfId="53" applyFont="1" applyBorder="1" applyAlignment="1">
      <alignment vertical="center" wrapText="1"/>
    </xf>
    <xf numFmtId="0" fontId="28" fillId="0" borderId="5" xfId="53" applyFont="1" applyBorder="1" applyAlignment="1">
      <alignment horizontal="justify" vertical="center" wrapText="1"/>
    </xf>
    <xf numFmtId="0" fontId="1" fillId="4" borderId="6" xfId="0" applyFont="1" applyFill="1" applyBorder="1" applyAlignment="1">
      <alignment wrapText="1"/>
    </xf>
    <xf numFmtId="0" fontId="5" fillId="0" borderId="4" xfId="0" applyFont="1" applyBorder="1" applyAlignment="1">
      <alignment horizontal="center" vertical="center"/>
    </xf>
    <xf numFmtId="0" fontId="5" fillId="0" borderId="5" xfId="0" applyFont="1" applyBorder="1" applyAlignment="1">
      <alignment horizontal="center" vertical="center"/>
    </xf>
    <xf numFmtId="0" fontId="9" fillId="0" borderId="11" xfId="0" applyFont="1" applyBorder="1" applyAlignment="1">
      <alignment horizontal="left" vertical="center" wrapText="1"/>
    </xf>
    <xf numFmtId="0" fontId="9" fillId="0" borderId="34" xfId="0" applyFont="1" applyBorder="1" applyAlignment="1">
      <alignment horizontal="left" vertical="center" wrapText="1"/>
    </xf>
    <xf numFmtId="0" fontId="9" fillId="0" borderId="12" xfId="0" applyFont="1" applyBorder="1" applyAlignment="1">
      <alignment horizontal="left" vertical="center" wrapText="1"/>
    </xf>
    <xf numFmtId="0" fontId="30" fillId="0" borderId="0" xfId="0" applyFont="1" applyAlignment="1">
      <alignment vertical="center"/>
    </xf>
    <xf numFmtId="0" fontId="30" fillId="0" borderId="0" xfId="0" applyFont="1" applyAlignment="1">
      <alignment horizontal="center"/>
    </xf>
    <xf numFmtId="0" fontId="30" fillId="0" borderId="0" xfId="0" applyFont="1" applyAlignment="1">
      <alignment horizontal="justify" vertical="center" wrapText="1"/>
    </xf>
    <xf numFmtId="0" fontId="30" fillId="0" borderId="0" xfId="0" applyFont="1"/>
    <xf numFmtId="0" fontId="31" fillId="0" borderId="5" xfId="53" applyFont="1" applyBorder="1" applyAlignment="1">
      <alignment horizontal="center" vertical="center"/>
    </xf>
    <xf numFmtId="0" fontId="13" fillId="0" borderId="38" xfId="53" applyFont="1" applyBorder="1" applyAlignment="1">
      <alignment horizontal="center" vertical="center"/>
    </xf>
    <xf numFmtId="0" fontId="13" fillId="0" borderId="21" xfId="53" applyFont="1" applyBorder="1" applyAlignment="1">
      <alignment horizontal="center" vertical="center"/>
    </xf>
    <xf numFmtId="0" fontId="13" fillId="0" borderId="22" xfId="53" applyFont="1" applyBorder="1" applyAlignment="1">
      <alignment horizontal="center" vertical="center"/>
    </xf>
    <xf numFmtId="0" fontId="13" fillId="5" borderId="1" xfId="53" applyFont="1" applyFill="1" applyBorder="1" applyAlignment="1">
      <alignment horizontal="center" vertical="center" wrapText="1"/>
    </xf>
    <xf numFmtId="0" fontId="13" fillId="5" borderId="2" xfId="53" applyFont="1" applyFill="1" applyBorder="1" applyAlignment="1">
      <alignment horizontal="justify" vertical="center" wrapText="1"/>
    </xf>
    <xf numFmtId="0" fontId="13" fillId="5" borderId="3" xfId="53" applyFont="1" applyFill="1" applyBorder="1" applyAlignment="1">
      <alignment horizontal="center" vertical="center" wrapText="1"/>
    </xf>
    <xf numFmtId="0" fontId="1" fillId="2" borderId="4" xfId="0" applyFont="1" applyFill="1" applyBorder="1" applyAlignment="1">
      <alignment horizontal="center" vertical="center"/>
    </xf>
    <xf numFmtId="0" fontId="1" fillId="2" borderId="6" xfId="0" applyFont="1" applyFill="1" applyBorder="1" applyAlignment="1">
      <alignment horizontal="center" vertical="center"/>
    </xf>
    <xf numFmtId="0" fontId="1" fillId="2" borderId="10" xfId="0" applyFont="1" applyFill="1" applyBorder="1" applyAlignment="1">
      <alignment horizontal="center" vertical="center"/>
    </xf>
    <xf numFmtId="0" fontId="26" fillId="2" borderId="11" xfId="53" applyFont="1" applyFill="1" applyBorder="1" applyAlignment="1">
      <alignment horizontal="justify" vertical="center" wrapText="1"/>
    </xf>
  </cellXfs>
  <cellStyles count="5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 name="Comma 2 2" xfId="49"/>
    <cellStyle name="Comma 2 3 2" xfId="50"/>
    <cellStyle name="Comma 3 3" xfId="51"/>
    <cellStyle name="Normal 2" xfId="52"/>
    <cellStyle name="Normal 2 2 2" xfId="53"/>
    <cellStyle name="Normal 2 3" xfId="54"/>
    <cellStyle name="Normal 3" xfId="55"/>
    <cellStyle name="Normal 4" xfId="56"/>
    <cellStyle name="Normal 5" xfId="57"/>
    <cellStyle name="Normal 6" xfId="58"/>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tyles" Target="styles.xml"/><Relationship Id="rId8" Type="http://schemas.openxmlformats.org/officeDocument/2006/relationships/sharedStrings" Target="sharedStrings.xml"/><Relationship Id="rId7" Type="http://schemas.openxmlformats.org/officeDocument/2006/relationships/theme" Target="theme/theme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8"/>
  <sheetViews>
    <sheetView zoomScale="160" zoomScaleNormal="160" workbookViewId="0">
      <selection activeCell="C25" sqref="C25"/>
    </sheetView>
  </sheetViews>
  <sheetFormatPr defaultColWidth="9.16666666666667" defaultRowHeight="15.6" outlineLevelRow="7" outlineLevelCol="2"/>
  <cols>
    <col min="1" max="1" width="6.33333333333333" style="198" customWidth="1"/>
    <col min="2" max="2" width="88.8333333333333" style="199" customWidth="1"/>
    <col min="3" max="3" width="21.6666666666667" style="198" customWidth="1"/>
    <col min="4" max="16384" width="9.16666666666667" style="200"/>
  </cols>
  <sheetData>
    <row r="1" ht="27.75" customHeight="1" spans="1:3">
      <c r="A1" s="201" t="s">
        <v>0</v>
      </c>
      <c r="B1" s="201"/>
      <c r="C1" s="201"/>
    </row>
    <row r="2" ht="27.75" customHeight="1" spans="1:3">
      <c r="A2" s="202" t="s">
        <v>1</v>
      </c>
      <c r="B2" s="203"/>
      <c r="C2" s="204"/>
    </row>
    <row r="3" s="197" customFormat="1" ht="48.5" customHeight="1" spans="1:3">
      <c r="A3" s="205" t="s">
        <v>2</v>
      </c>
      <c r="B3" s="206" t="s">
        <v>3</v>
      </c>
      <c r="C3" s="207" t="s">
        <v>4</v>
      </c>
    </row>
    <row r="4" ht="39" customHeight="1" spans="1:3">
      <c r="A4" s="208">
        <v>1</v>
      </c>
      <c r="B4" s="172" t="s">
        <v>5</v>
      </c>
      <c r="C4" s="209" t="s">
        <v>6</v>
      </c>
    </row>
    <row r="5" ht="27" customHeight="1" spans="1:3">
      <c r="A5" s="208">
        <v>2</v>
      </c>
      <c r="B5" s="172" t="s">
        <v>7</v>
      </c>
      <c r="C5" s="209" t="s">
        <v>8</v>
      </c>
    </row>
    <row r="6" ht="27" customHeight="1" spans="1:3">
      <c r="A6" s="208">
        <v>3</v>
      </c>
      <c r="B6" s="172" t="s">
        <v>9</v>
      </c>
      <c r="C6" s="209" t="s">
        <v>10</v>
      </c>
    </row>
    <row r="7" ht="27" customHeight="1" spans="1:3">
      <c r="A7" s="208">
        <v>4</v>
      </c>
      <c r="B7" s="172" t="s">
        <v>11</v>
      </c>
      <c r="C7" s="209" t="s">
        <v>12</v>
      </c>
    </row>
    <row r="8" ht="42.75" customHeight="1" spans="1:3">
      <c r="A8" s="210">
        <v>5</v>
      </c>
      <c r="B8" s="211" t="s">
        <v>13</v>
      </c>
      <c r="C8" s="209" t="s">
        <v>14</v>
      </c>
    </row>
  </sheetData>
  <mergeCells count="2">
    <mergeCell ref="A1:C1"/>
    <mergeCell ref="A2:C2"/>
  </mergeCells>
  <printOptions horizontalCentered="1"/>
  <pageMargins left="0.2" right="0.2" top="0.5" bottom="0.5" header="0.3" footer="0.3"/>
  <pageSetup paperSize="9" scale="85"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A1:I29"/>
  <sheetViews>
    <sheetView view="pageBreakPreview" zoomScale="142" zoomScalePageLayoutView="80" zoomScaleNormal="85" workbookViewId="0">
      <selection activeCell="C3" sqref="C3:C4"/>
    </sheetView>
  </sheetViews>
  <sheetFormatPr defaultColWidth="8.83333333333333" defaultRowHeight="15.6"/>
  <cols>
    <col min="1" max="1" width="5.66666666666667" style="57" customWidth="1"/>
    <col min="2" max="2" width="13.6666666666667" style="150" customWidth="1"/>
    <col min="3" max="3" width="64.6666666666667" style="151" customWidth="1"/>
    <col min="4" max="4" width="9.66666666666667" style="57" customWidth="1"/>
    <col min="5" max="5" width="8.16666666666667" style="58" customWidth="1"/>
    <col min="6" max="6" width="17.5" style="58" customWidth="1"/>
    <col min="7" max="7" width="14.3333333333333" style="58" customWidth="1"/>
    <col min="8" max="9" width="17.5" style="58" customWidth="1"/>
    <col min="10" max="16384" width="8.83333333333333" style="58"/>
  </cols>
  <sheetData>
    <row r="1" ht="21.75" spans="1:8">
      <c r="H1" s="152" t="s">
        <v>15</v>
      </c>
    </row>
    <row r="2" ht="26.25" customHeight="1" spans="1:8">
      <c r="A2" s="153" t="s">
        <v>16</v>
      </c>
      <c r="B2" s="154"/>
      <c r="C2" s="154"/>
      <c r="D2" s="154"/>
      <c r="E2" s="154"/>
      <c r="F2" s="155"/>
      <c r="G2" s="155"/>
      <c r="H2" s="156"/>
    </row>
    <row r="3" ht="16" customHeight="1" spans="1:8">
      <c r="A3" s="45" t="s">
        <v>17</v>
      </c>
      <c r="B3" s="157" t="s">
        <v>18</v>
      </c>
      <c r="C3" s="158" t="s">
        <v>3</v>
      </c>
      <c r="D3" s="159" t="s">
        <v>19</v>
      </c>
      <c r="E3" s="160" t="s">
        <v>20</v>
      </c>
      <c r="F3" s="161"/>
      <c r="G3" s="161" t="s">
        <v>21</v>
      </c>
      <c r="H3" s="162"/>
    </row>
    <row r="4" ht="82.5" customHeight="1" spans="1:8">
      <c r="A4" s="45"/>
      <c r="B4" s="157"/>
      <c r="C4" s="158"/>
      <c r="D4" s="159"/>
      <c r="E4" s="49" t="s">
        <v>22</v>
      </c>
      <c r="F4" s="163" t="s">
        <v>23</v>
      </c>
      <c r="G4" s="49" t="s">
        <v>22</v>
      </c>
      <c r="H4" s="163" t="s">
        <v>23</v>
      </c>
    </row>
    <row r="5" ht="52" customHeight="1" spans="1:8">
      <c r="A5" s="164" t="s">
        <v>24</v>
      </c>
      <c r="B5" s="165" t="s">
        <v>25</v>
      </c>
      <c r="C5" s="165"/>
      <c r="D5" s="166"/>
      <c r="E5" s="167"/>
      <c r="F5" s="168"/>
      <c r="G5" s="169"/>
      <c r="H5" s="170"/>
    </row>
    <row r="6" ht="63" customHeight="1" spans="1:8">
      <c r="A6" s="50">
        <v>1</v>
      </c>
      <c r="B6" s="171" t="s">
        <v>26</v>
      </c>
      <c r="C6" s="172" t="s">
        <v>27</v>
      </c>
      <c r="D6" s="173"/>
      <c r="E6" s="174"/>
      <c r="F6" s="175"/>
      <c r="G6" s="174"/>
      <c r="H6" s="176"/>
    </row>
    <row r="7" ht="47" customHeight="1" spans="1:8">
      <c r="A7" s="50">
        <v>2</v>
      </c>
      <c r="B7" s="171" t="s">
        <v>28</v>
      </c>
      <c r="C7" s="172" t="s">
        <v>29</v>
      </c>
      <c r="D7" s="173"/>
      <c r="E7" s="54"/>
      <c r="F7" s="177"/>
      <c r="G7" s="174"/>
      <c r="H7" s="170"/>
    </row>
    <row r="8" ht="59" customHeight="1" spans="1:8">
      <c r="A8" s="50">
        <v>3</v>
      </c>
      <c r="B8" s="171" t="s">
        <v>30</v>
      </c>
      <c r="C8" s="172" t="s">
        <v>31</v>
      </c>
      <c r="D8" s="173"/>
      <c r="E8" s="54"/>
      <c r="F8" s="178"/>
      <c r="G8" s="174"/>
      <c r="H8" s="178"/>
    </row>
    <row r="9" ht="32" customHeight="1" spans="1:8">
      <c r="A9" s="50">
        <v>4</v>
      </c>
      <c r="B9" s="171" t="s">
        <v>32</v>
      </c>
      <c r="C9" s="172" t="s">
        <v>33</v>
      </c>
      <c r="D9" s="173"/>
      <c r="E9" s="54"/>
      <c r="F9" s="177"/>
      <c r="G9" s="174"/>
      <c r="H9" s="170"/>
    </row>
    <row r="10" ht="45" customHeight="1" spans="1:8">
      <c r="A10" s="50">
        <v>5</v>
      </c>
      <c r="B10" s="171" t="s">
        <v>34</v>
      </c>
      <c r="C10" s="172" t="s">
        <v>35</v>
      </c>
      <c r="D10" s="173"/>
      <c r="E10" s="179"/>
      <c r="F10" s="175"/>
      <c r="G10" s="179"/>
      <c r="H10" s="175"/>
    </row>
    <row r="11" ht="24" customHeight="1" spans="1:8">
      <c r="A11" s="50">
        <v>6</v>
      </c>
      <c r="B11" s="171" t="s">
        <v>36</v>
      </c>
      <c r="C11" s="172" t="s">
        <v>37</v>
      </c>
      <c r="D11" s="173"/>
      <c r="E11" s="54"/>
      <c r="F11" s="177"/>
      <c r="G11" s="174"/>
      <c r="H11" s="170"/>
    </row>
    <row r="12" ht="93.6" spans="1:8">
      <c r="A12" s="50">
        <v>7</v>
      </c>
      <c r="B12" s="171" t="s">
        <v>38</v>
      </c>
      <c r="C12" s="172" t="s">
        <v>39</v>
      </c>
      <c r="D12" s="173"/>
      <c r="E12" s="179"/>
      <c r="F12" s="180"/>
      <c r="G12" s="179"/>
      <c r="H12" s="181"/>
    </row>
    <row r="13" ht="31.2" spans="1:8">
      <c r="A13" s="50">
        <v>8</v>
      </c>
      <c r="B13" s="171" t="s">
        <v>40</v>
      </c>
      <c r="C13" s="172" t="s">
        <v>41</v>
      </c>
      <c r="D13" s="173"/>
      <c r="E13" s="54"/>
      <c r="F13" s="182"/>
      <c r="G13" s="174"/>
      <c r="H13" s="170"/>
    </row>
    <row r="14" spans="1:8">
      <c r="A14" s="183" t="s">
        <v>42</v>
      </c>
      <c r="B14" s="184" t="s">
        <v>43</v>
      </c>
      <c r="C14" s="184"/>
      <c r="D14" s="184"/>
      <c r="E14" s="54"/>
      <c r="F14" s="177"/>
      <c r="G14" s="54"/>
      <c r="H14" s="170"/>
    </row>
    <row r="15" ht="64" customHeight="1" spans="1:8">
      <c r="A15" s="50">
        <v>9</v>
      </c>
      <c r="B15" s="171" t="s">
        <v>26</v>
      </c>
      <c r="C15" s="172" t="s">
        <v>44</v>
      </c>
      <c r="D15" s="173"/>
      <c r="E15" s="174"/>
      <c r="F15" s="175"/>
      <c r="G15" s="174"/>
      <c r="H15" s="176"/>
    </row>
    <row r="16" ht="24.75" customHeight="1" spans="1:8">
      <c r="A16" s="50">
        <v>10</v>
      </c>
      <c r="B16" s="171" t="s">
        <v>26</v>
      </c>
      <c r="C16" s="172" t="str">
        <f>C7</f>
        <v>Higher Processor specs / Cores capacity will be preferred</v>
      </c>
      <c r="D16" s="173"/>
      <c r="E16" s="54"/>
      <c r="F16" s="177"/>
      <c r="G16" s="174"/>
      <c r="H16" s="170"/>
    </row>
    <row r="17" ht="31.2" spans="1:9">
      <c r="A17" s="50">
        <v>11</v>
      </c>
      <c r="B17" s="171" t="s">
        <v>30</v>
      </c>
      <c r="C17" s="172" t="s">
        <v>45</v>
      </c>
      <c r="D17" s="173"/>
      <c r="E17" s="54"/>
      <c r="F17" s="178"/>
      <c r="G17" s="174"/>
      <c r="H17" s="181"/>
    </row>
    <row r="18" ht="46.8" spans="1:9">
      <c r="A18" s="50">
        <v>12</v>
      </c>
      <c r="B18" s="171" t="s">
        <v>32</v>
      </c>
      <c r="C18" s="172" t="str">
        <f>C9</f>
        <v>Higher Memory speed / Capacity will be preferred</v>
      </c>
      <c r="D18" s="173"/>
      <c r="E18" s="54"/>
      <c r="F18" s="177"/>
      <c r="G18" s="174"/>
      <c r="H18" s="170"/>
    </row>
    <row r="19" ht="43" customHeight="1" spans="1:9">
      <c r="A19" s="50">
        <v>13</v>
      </c>
      <c r="B19" s="171" t="s">
        <v>34</v>
      </c>
      <c r="C19" s="172" t="s">
        <v>46</v>
      </c>
      <c r="D19" s="173"/>
      <c r="E19" s="179"/>
      <c r="F19" s="175"/>
      <c r="G19" s="185"/>
      <c r="H19" s="181"/>
    </row>
    <row r="20" ht="22.5" customHeight="1" spans="1:9">
      <c r="A20" s="50">
        <v>14</v>
      </c>
      <c r="B20" s="171" t="s">
        <v>36</v>
      </c>
      <c r="C20" s="172" t="str">
        <f>C11</f>
        <v>Higher Disk speed/capacity will be preferred</v>
      </c>
      <c r="D20" s="173"/>
      <c r="E20" s="54"/>
      <c r="F20" s="177"/>
      <c r="G20" s="53"/>
      <c r="H20" s="170"/>
    </row>
    <row r="21" ht="86" customHeight="1" spans="1:9">
      <c r="A21" s="50">
        <v>15</v>
      </c>
      <c r="B21" s="171" t="s">
        <v>47</v>
      </c>
      <c r="C21" s="172" t="s">
        <v>48</v>
      </c>
      <c r="D21" s="173"/>
      <c r="E21" s="179"/>
      <c r="F21" s="177"/>
      <c r="G21" s="185"/>
      <c r="H21" s="181"/>
    </row>
    <row r="22" ht="35" customHeight="1" spans="1:9">
      <c r="A22" s="50">
        <v>16</v>
      </c>
      <c r="B22" s="171" t="s">
        <v>40</v>
      </c>
      <c r="C22" s="172" t="str">
        <f>C13</f>
        <v>Higher Interface speed/Quantity of interfaces will be preferred.</v>
      </c>
      <c r="D22" s="173"/>
      <c r="E22" s="54"/>
      <c r="F22" s="177"/>
      <c r="G22" s="53"/>
      <c r="H22" s="170"/>
    </row>
    <row r="23" ht="67.5" customHeight="1" spans="1:9">
      <c r="A23" s="50">
        <v>17</v>
      </c>
      <c r="B23" s="186" t="s">
        <v>49</v>
      </c>
      <c r="C23" s="187" t="s">
        <v>50</v>
      </c>
      <c r="D23" s="173"/>
      <c r="E23" s="179"/>
      <c r="F23" s="177"/>
      <c r="G23" s="53"/>
      <c r="H23" s="176"/>
    </row>
    <row r="24" ht="81" customHeight="1" spans="1:9">
      <c r="A24" s="50">
        <v>18</v>
      </c>
      <c r="B24" s="186" t="s">
        <v>51</v>
      </c>
      <c r="C24" s="187" t="s">
        <v>52</v>
      </c>
      <c r="D24" s="173"/>
      <c r="E24" s="179"/>
      <c r="F24" s="177"/>
      <c r="G24" s="53"/>
      <c r="H24" s="170"/>
    </row>
    <row r="25" ht="70" customHeight="1" spans="1:9">
      <c r="A25" s="50">
        <v>19</v>
      </c>
      <c r="B25" s="186" t="s">
        <v>53</v>
      </c>
      <c r="C25" s="187" t="s">
        <v>54</v>
      </c>
      <c r="D25" s="173"/>
      <c r="E25" s="179"/>
      <c r="F25" s="175"/>
      <c r="G25" s="53"/>
      <c r="H25" s="181"/>
      <c r="I25" s="188" t="s">
        <v>55</v>
      </c>
    </row>
    <row r="26" ht="78" customHeight="1" spans="1:9">
      <c r="A26" s="50">
        <v>20</v>
      </c>
      <c r="B26" s="189" t="s">
        <v>56</v>
      </c>
      <c r="C26" s="190" t="s">
        <v>57</v>
      </c>
      <c r="D26" s="173"/>
      <c r="E26" s="54"/>
      <c r="F26" s="182"/>
      <c r="G26" s="54"/>
      <c r="H26" s="191"/>
    </row>
    <row r="27" ht="67" customHeight="1" spans="1:9">
      <c r="A27" s="50">
        <v>21</v>
      </c>
      <c r="B27" s="171" t="s">
        <v>58</v>
      </c>
      <c r="C27" s="172" t="s">
        <v>59</v>
      </c>
      <c r="D27" s="173"/>
      <c r="E27" s="179"/>
      <c r="F27" s="177"/>
      <c r="G27" s="53"/>
      <c r="H27" s="170"/>
    </row>
    <row r="28" spans="1:9">
      <c r="A28" s="192" t="s">
        <v>60</v>
      </c>
      <c r="B28" s="193"/>
      <c r="C28" s="193"/>
      <c r="D28" s="193"/>
      <c r="E28" s="54"/>
      <c r="F28" s="177"/>
      <c r="G28" s="177"/>
      <c r="H28" s="170"/>
    </row>
    <row r="29" ht="99" customHeight="1" spans="1:9">
      <c r="A29" s="30" t="s">
        <v>61</v>
      </c>
      <c r="B29" s="194" t="s">
        <v>62</v>
      </c>
      <c r="C29" s="194"/>
      <c r="D29" s="194"/>
      <c r="E29" s="194"/>
      <c r="F29" s="195"/>
      <c r="G29" s="195"/>
      <c r="H29" s="196"/>
    </row>
  </sheetData>
  <mergeCells count="11">
    <mergeCell ref="A2:H2"/>
    <mergeCell ref="E3:F3"/>
    <mergeCell ref="G3:H3"/>
    <mergeCell ref="B5:C5"/>
    <mergeCell ref="B14:D14"/>
    <mergeCell ref="A28:C28"/>
    <mergeCell ref="B29:H29"/>
    <mergeCell ref="A3:A4"/>
    <mergeCell ref="B3:B4"/>
    <mergeCell ref="C3:C4"/>
    <mergeCell ref="D3:D4"/>
  </mergeCells>
  <printOptions horizontalCentered="1"/>
  <pageMargins left="0.2" right="0.2" top="0.5" bottom="0.5" header="0.118110236220472" footer="0"/>
  <pageSetup paperSize="9" scale="64"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pageSetUpPr fitToPage="1"/>
  </sheetPr>
  <dimension ref="A1:H39"/>
  <sheetViews>
    <sheetView zoomScale="139" zoomScaleNormal="139" zoomScalePageLayoutView="80" topLeftCell="A3" workbookViewId="0">
      <selection activeCell="J5" sqref="J5"/>
    </sheetView>
  </sheetViews>
  <sheetFormatPr defaultColWidth="8.83333333333333" defaultRowHeight="14.4" outlineLevelCol="7"/>
  <cols>
    <col min="1" max="1" width="4.16666666666667" style="114" customWidth="1"/>
    <col min="2" max="2" width="14.5" style="115" customWidth="1"/>
    <col min="3" max="3" width="44.5" style="116" customWidth="1"/>
    <col min="4" max="4" width="6.16666666666667" customWidth="1"/>
    <col min="5" max="5" width="7" customWidth="1"/>
    <col min="6" max="6" width="22.6666666666667" customWidth="1"/>
    <col min="7" max="7" width="7.33333333333333" customWidth="1"/>
    <col min="8" max="8" width="14.5" customWidth="1"/>
  </cols>
  <sheetData>
    <row r="1" ht="24.15" spans="1:8">
      <c r="H1" s="117" t="s">
        <v>63</v>
      </c>
    </row>
    <row r="2" ht="37.5" customHeight="1" spans="1:8">
      <c r="A2" s="118" t="s">
        <v>64</v>
      </c>
      <c r="B2" s="119"/>
      <c r="C2" s="119"/>
      <c r="D2" s="119"/>
      <c r="E2" s="119"/>
      <c r="F2" s="119"/>
      <c r="G2" s="119"/>
      <c r="H2" s="120"/>
    </row>
    <row r="3" ht="42" customHeight="1" spans="1:8">
      <c r="A3" s="41" t="s">
        <v>17</v>
      </c>
      <c r="B3" s="42" t="s">
        <v>18</v>
      </c>
      <c r="C3" s="43" t="s">
        <v>3</v>
      </c>
      <c r="D3" s="44" t="s">
        <v>19</v>
      </c>
      <c r="E3" s="74" t="s">
        <v>65</v>
      </c>
      <c r="F3" s="74"/>
      <c r="G3" s="74" t="s">
        <v>66</v>
      </c>
      <c r="H3" s="74"/>
    </row>
    <row r="4" ht="75" customHeight="1" spans="1:8">
      <c r="A4" s="45"/>
      <c r="B4" s="46"/>
      <c r="C4" s="47"/>
      <c r="D4" s="48"/>
      <c r="E4" s="49" t="s">
        <v>22</v>
      </c>
      <c r="F4" s="49" t="s">
        <v>67</v>
      </c>
      <c r="G4" s="49" t="s">
        <v>22</v>
      </c>
      <c r="H4" s="49" t="s">
        <v>67</v>
      </c>
    </row>
    <row r="5" ht="62.4" spans="1:8">
      <c r="A5" s="50">
        <v>1</v>
      </c>
      <c r="B5" s="121" t="s">
        <v>68</v>
      </c>
      <c r="C5" s="122" t="s">
        <v>69</v>
      </c>
      <c r="D5" s="123"/>
      <c r="E5" s="53"/>
      <c r="F5" s="53"/>
      <c r="G5" s="53"/>
      <c r="H5" s="124"/>
    </row>
    <row r="6" ht="32.25" customHeight="1" spans="1:8">
      <c r="A6" s="50">
        <v>2</v>
      </c>
      <c r="B6" s="121"/>
      <c r="C6" s="125" t="s">
        <v>70</v>
      </c>
      <c r="D6" s="123"/>
      <c r="E6" s="53"/>
      <c r="F6" s="126"/>
      <c r="G6" s="126"/>
      <c r="H6" s="127"/>
    </row>
    <row r="7" ht="31.2" spans="1:8">
      <c r="A7" s="50">
        <v>3</v>
      </c>
      <c r="B7" s="121"/>
      <c r="C7" s="122" t="s">
        <v>71</v>
      </c>
      <c r="D7" s="123"/>
      <c r="E7" s="126"/>
      <c r="F7" s="128"/>
      <c r="G7" s="126"/>
      <c r="H7" s="127"/>
    </row>
    <row r="8" ht="15.6" spans="1:8">
      <c r="A8" s="50">
        <v>4</v>
      </c>
      <c r="B8" s="121"/>
      <c r="C8" s="52" t="s">
        <v>72</v>
      </c>
      <c r="D8" s="123"/>
      <c r="E8" s="53"/>
      <c r="F8" s="53"/>
      <c r="G8" s="126"/>
      <c r="H8" s="124"/>
    </row>
    <row r="9" ht="46.8" spans="1:8">
      <c r="A9" s="50">
        <v>5</v>
      </c>
      <c r="B9" s="121" t="s">
        <v>73</v>
      </c>
      <c r="C9" s="122" t="s">
        <v>74</v>
      </c>
      <c r="D9" s="123"/>
      <c r="E9" s="53"/>
      <c r="F9" s="128"/>
      <c r="G9" s="126"/>
      <c r="H9" s="129"/>
    </row>
    <row r="10" ht="46.8" spans="1:8">
      <c r="A10" s="50">
        <v>6</v>
      </c>
      <c r="B10" s="121" t="s">
        <v>75</v>
      </c>
      <c r="C10" s="122" t="s">
        <v>76</v>
      </c>
      <c r="D10" s="123"/>
      <c r="E10" s="53"/>
      <c r="F10" s="53"/>
      <c r="G10" s="126"/>
      <c r="H10" s="127"/>
    </row>
    <row r="11" ht="36" customHeight="1" spans="1:8">
      <c r="A11" s="50">
        <v>7</v>
      </c>
      <c r="B11" s="121"/>
      <c r="C11" s="52" t="s">
        <v>77</v>
      </c>
      <c r="D11" s="123"/>
      <c r="E11" s="53"/>
      <c r="F11" s="53"/>
      <c r="G11" s="126"/>
      <c r="H11" s="124"/>
    </row>
    <row r="12" ht="64.5" customHeight="1" spans="1:8">
      <c r="A12" s="50">
        <v>8</v>
      </c>
      <c r="B12" s="51" t="s">
        <v>78</v>
      </c>
      <c r="C12" s="122" t="s">
        <v>79</v>
      </c>
      <c r="D12" s="123"/>
      <c r="E12" s="53"/>
      <c r="F12" s="128"/>
      <c r="G12" s="126"/>
      <c r="H12" s="129"/>
    </row>
    <row r="13" ht="44.25" customHeight="1" spans="1:8">
      <c r="A13" s="50">
        <v>9</v>
      </c>
      <c r="B13" s="121" t="s">
        <v>80</v>
      </c>
      <c r="C13" s="122" t="s">
        <v>81</v>
      </c>
      <c r="D13" s="123"/>
      <c r="E13" s="53"/>
      <c r="F13" s="53"/>
      <c r="G13" s="53"/>
      <c r="H13" s="124"/>
    </row>
    <row r="14" ht="60" customHeight="1" spans="1:8">
      <c r="A14" s="50">
        <v>10</v>
      </c>
      <c r="B14" s="121"/>
      <c r="C14" s="122" t="s">
        <v>82</v>
      </c>
      <c r="D14" s="123"/>
      <c r="E14" s="53"/>
      <c r="F14" s="128"/>
      <c r="G14" s="126"/>
      <c r="H14" s="127"/>
    </row>
    <row r="15" ht="46.5" customHeight="1" spans="1:8">
      <c r="A15" s="50">
        <v>11</v>
      </c>
      <c r="B15" s="51" t="s">
        <v>83</v>
      </c>
      <c r="C15" s="52" t="s">
        <v>84</v>
      </c>
      <c r="D15" s="123"/>
      <c r="E15" s="53"/>
      <c r="F15" s="53"/>
      <c r="G15" s="126"/>
      <c r="H15" s="129"/>
    </row>
    <row r="16" ht="32.25" customHeight="1" spans="1:8">
      <c r="A16" s="50">
        <v>12</v>
      </c>
      <c r="B16" s="51" t="s">
        <v>85</v>
      </c>
      <c r="C16" s="52" t="s">
        <v>86</v>
      </c>
      <c r="D16" s="123"/>
      <c r="E16" s="53"/>
      <c r="F16" s="53"/>
      <c r="G16" s="126"/>
      <c r="H16" s="127"/>
    </row>
    <row r="17" ht="50" customHeight="1" spans="1:8">
      <c r="A17" s="50">
        <v>13</v>
      </c>
      <c r="B17" s="51" t="s">
        <v>87</v>
      </c>
      <c r="C17" s="52" t="s">
        <v>88</v>
      </c>
      <c r="D17" s="123"/>
      <c r="E17" s="53"/>
      <c r="F17" s="128"/>
      <c r="G17" s="126"/>
      <c r="H17" s="124"/>
    </row>
    <row r="18" ht="45" customHeight="1" spans="1:8">
      <c r="A18" s="50">
        <v>14</v>
      </c>
      <c r="B18" s="51"/>
      <c r="C18" s="122" t="s">
        <v>89</v>
      </c>
      <c r="D18" s="123"/>
      <c r="E18" s="53"/>
      <c r="F18" s="53"/>
      <c r="G18" s="126"/>
      <c r="H18" s="124"/>
    </row>
    <row r="19" ht="61" customHeight="1" spans="1:8">
      <c r="A19" s="50">
        <v>15</v>
      </c>
      <c r="B19" s="51" t="s">
        <v>90</v>
      </c>
      <c r="C19" s="52" t="s">
        <v>91</v>
      </c>
      <c r="D19" s="123"/>
      <c r="E19" s="53"/>
      <c r="F19" s="128"/>
      <c r="G19" s="126"/>
      <c r="H19" s="127"/>
    </row>
    <row r="20" ht="67.5" customHeight="1" spans="1:8">
      <c r="A20" s="50">
        <v>16</v>
      </c>
      <c r="B20" s="51" t="s">
        <v>92</v>
      </c>
      <c r="C20" s="52" t="s">
        <v>93</v>
      </c>
      <c r="D20" s="123"/>
      <c r="E20" s="53"/>
      <c r="F20" s="53"/>
      <c r="G20" s="126"/>
      <c r="H20" s="124"/>
    </row>
    <row r="21" ht="58" customHeight="1" spans="1:8">
      <c r="A21" s="50">
        <v>17</v>
      </c>
      <c r="B21" s="51" t="s">
        <v>94</v>
      </c>
      <c r="C21" s="122" t="s">
        <v>95</v>
      </c>
      <c r="D21" s="123"/>
      <c r="E21" s="53"/>
      <c r="F21" s="53"/>
      <c r="G21" s="126"/>
      <c r="H21" s="127"/>
    </row>
    <row r="22" ht="31.2" spans="1:8">
      <c r="A22" s="50">
        <v>18</v>
      </c>
      <c r="B22" s="51" t="s">
        <v>96</v>
      </c>
      <c r="C22" s="122" t="s">
        <v>97</v>
      </c>
      <c r="D22" s="123"/>
      <c r="E22" s="53"/>
      <c r="F22" s="53"/>
      <c r="G22" s="126"/>
      <c r="H22" s="124"/>
    </row>
    <row r="23" ht="46.8" spans="1:8">
      <c r="A23" s="50">
        <v>19</v>
      </c>
      <c r="B23" s="51" t="s">
        <v>98</v>
      </c>
      <c r="C23" s="52" t="s">
        <v>99</v>
      </c>
      <c r="D23" s="123"/>
      <c r="E23" s="53"/>
      <c r="F23" s="53"/>
      <c r="G23" s="126"/>
      <c r="H23" s="124"/>
    </row>
    <row r="24" ht="79" customHeight="1" spans="1:8">
      <c r="A24" s="50">
        <v>20</v>
      </c>
      <c r="B24" s="51" t="s">
        <v>100</v>
      </c>
      <c r="C24" s="122" t="s">
        <v>101</v>
      </c>
      <c r="D24" s="123"/>
      <c r="E24" s="53"/>
      <c r="F24" s="130"/>
      <c r="G24" s="126"/>
      <c r="H24" s="124"/>
    </row>
    <row r="25" ht="44.25" customHeight="1" spans="1:8">
      <c r="A25" s="50">
        <v>21</v>
      </c>
      <c r="B25" s="51"/>
      <c r="C25" s="122" t="s">
        <v>102</v>
      </c>
      <c r="D25" s="123"/>
      <c r="E25" s="53"/>
      <c r="F25" s="53"/>
      <c r="G25" s="126"/>
      <c r="H25" s="124"/>
    </row>
    <row r="26" ht="44.25" customHeight="1" spans="1:8">
      <c r="A26" s="50">
        <v>22</v>
      </c>
      <c r="B26" s="51"/>
      <c r="C26" s="122" t="s">
        <v>103</v>
      </c>
      <c r="D26" s="123"/>
      <c r="E26" s="53"/>
      <c r="F26" s="53"/>
      <c r="G26" s="126"/>
      <c r="H26" s="124"/>
    </row>
    <row r="27" ht="78" spans="1:8">
      <c r="A27" s="50">
        <v>23</v>
      </c>
      <c r="B27" s="51" t="s">
        <v>104</v>
      </c>
      <c r="C27" s="52" t="s">
        <v>105</v>
      </c>
      <c r="D27" s="123"/>
      <c r="E27" s="53"/>
      <c r="F27" s="53"/>
      <c r="G27" s="126"/>
      <c r="H27" s="124"/>
    </row>
    <row r="28" ht="26.25" customHeight="1" spans="1:8">
      <c r="A28" s="50">
        <v>24</v>
      </c>
      <c r="B28" s="51"/>
      <c r="C28" s="52" t="s">
        <v>106</v>
      </c>
      <c r="D28" s="123"/>
      <c r="E28" s="53"/>
      <c r="F28" s="53"/>
      <c r="G28" s="126"/>
      <c r="H28" s="124"/>
    </row>
    <row r="29" ht="198" customHeight="1" spans="1:8">
      <c r="A29" s="50">
        <v>25</v>
      </c>
      <c r="B29" s="51"/>
      <c r="C29" s="52" t="s">
        <v>107</v>
      </c>
      <c r="D29" s="123"/>
      <c r="E29" s="131"/>
      <c r="F29" s="131"/>
      <c r="G29" s="126"/>
      <c r="H29" s="131"/>
    </row>
    <row r="30" ht="46.8" spans="1:8">
      <c r="A30" s="50">
        <v>26</v>
      </c>
      <c r="B30" s="51" t="s">
        <v>108</v>
      </c>
      <c r="C30" s="52" t="s">
        <v>109</v>
      </c>
      <c r="D30" s="123"/>
      <c r="E30" s="53"/>
      <c r="F30" s="53"/>
      <c r="G30" s="126"/>
      <c r="H30" s="124"/>
    </row>
    <row r="31" ht="46.8" spans="1:8">
      <c r="A31" s="50">
        <v>27</v>
      </c>
      <c r="B31" s="51" t="s">
        <v>110</v>
      </c>
      <c r="C31" s="52" t="s">
        <v>111</v>
      </c>
      <c r="D31" s="123"/>
      <c r="E31" s="53"/>
      <c r="F31" s="53"/>
      <c r="G31" s="126"/>
      <c r="H31" s="124"/>
    </row>
    <row r="32" ht="109.2" spans="1:8">
      <c r="A32" s="50">
        <v>28</v>
      </c>
      <c r="B32" s="51" t="s">
        <v>112</v>
      </c>
      <c r="C32" s="52" t="s">
        <v>113</v>
      </c>
      <c r="D32" s="123"/>
      <c r="E32" s="53"/>
      <c r="F32" s="53"/>
      <c r="G32" s="126"/>
      <c r="H32" s="124"/>
    </row>
    <row r="33" ht="171.6" spans="1:8">
      <c r="A33" s="50">
        <v>29</v>
      </c>
      <c r="B33" s="51" t="s">
        <v>114</v>
      </c>
      <c r="C33" s="122" t="s">
        <v>115</v>
      </c>
      <c r="D33" s="123"/>
      <c r="E33" s="53"/>
      <c r="F33" s="53"/>
      <c r="G33" s="126"/>
      <c r="H33" s="129"/>
    </row>
    <row r="34" ht="109.2" spans="1:8">
      <c r="A34" s="50">
        <v>30</v>
      </c>
      <c r="B34" s="51" t="s">
        <v>116</v>
      </c>
      <c r="C34" s="122" t="s">
        <v>117</v>
      </c>
      <c r="D34" s="123"/>
      <c r="E34" s="53"/>
      <c r="F34" s="53"/>
      <c r="G34" s="126"/>
      <c r="H34" s="127"/>
    </row>
    <row r="35" ht="46.8" spans="1:8">
      <c r="A35" s="50">
        <v>31</v>
      </c>
      <c r="B35" s="51" t="s">
        <v>118</v>
      </c>
      <c r="C35" s="52" t="s">
        <v>119</v>
      </c>
      <c r="D35" s="123"/>
      <c r="E35" s="53"/>
      <c r="F35" s="53"/>
      <c r="G35" s="126"/>
      <c r="H35" s="129"/>
    </row>
    <row r="36" ht="78" spans="1:8">
      <c r="A36" s="50">
        <v>32</v>
      </c>
      <c r="B36" s="132" t="s">
        <v>120</v>
      </c>
      <c r="C36" s="122" t="s">
        <v>121</v>
      </c>
      <c r="D36" s="133"/>
      <c r="E36" s="53"/>
      <c r="F36" s="134"/>
      <c r="G36" s="126"/>
      <c r="H36" s="135"/>
    </row>
    <row r="37" ht="47.55" spans="1:8">
      <c r="A37" s="50">
        <v>33</v>
      </c>
      <c r="B37" s="136" t="s">
        <v>122</v>
      </c>
      <c r="C37" s="137" t="s">
        <v>123</v>
      </c>
      <c r="D37" s="138"/>
      <c r="E37" s="53"/>
      <c r="F37" s="53"/>
      <c r="G37" s="126"/>
      <c r="H37" s="124"/>
    </row>
    <row r="38" ht="37.25" customHeight="1" spans="1:8">
      <c r="A38" s="139" t="s">
        <v>124</v>
      </c>
      <c r="B38" s="140"/>
      <c r="C38" s="141"/>
      <c r="D38" s="142"/>
      <c r="E38" s="143"/>
      <c r="F38" s="144"/>
      <c r="G38" s="145"/>
      <c r="H38" s="146"/>
    </row>
    <row r="39" ht="83" customHeight="1" spans="1:8">
      <c r="A39" s="30" t="s">
        <v>61</v>
      </c>
      <c r="B39" s="147" t="s">
        <v>62</v>
      </c>
      <c r="C39" s="147"/>
      <c r="D39" s="147"/>
      <c r="E39" s="147"/>
      <c r="F39" s="147"/>
      <c r="G39" s="148"/>
      <c r="H39" s="149"/>
    </row>
  </sheetData>
  <mergeCells count="15">
    <mergeCell ref="A2:H2"/>
    <mergeCell ref="E3:F3"/>
    <mergeCell ref="G3:H3"/>
    <mergeCell ref="A38:C38"/>
    <mergeCell ref="B39:H39"/>
    <mergeCell ref="A3:A4"/>
    <mergeCell ref="B3:B4"/>
    <mergeCell ref="B5:B8"/>
    <mergeCell ref="B10:B11"/>
    <mergeCell ref="B13:B14"/>
    <mergeCell ref="B17:B18"/>
    <mergeCell ref="B24:B26"/>
    <mergeCell ref="B27:B29"/>
    <mergeCell ref="C3:C4"/>
    <mergeCell ref="D3:D4"/>
  </mergeCells>
  <printOptions horizontalCentered="1"/>
  <pageMargins left="0.2" right="0.2" top="0.5" bottom="0.5" header="0.196850393700787" footer="0"/>
  <pageSetup paperSize="9" scale="69" fitToHeight="2" orientation="portrait"/>
  <headerFooter/>
  <rowBreaks count="1" manualBreakCount="1">
    <brk id="29" max="16383" man="1"/>
  </rowBreak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pageSetUpPr fitToPage="1"/>
  </sheetPr>
  <dimension ref="A1:H41"/>
  <sheetViews>
    <sheetView view="pageBreakPreview" zoomScale="160" zoomScalePageLayoutView="80" zoomScaleNormal="90" topLeftCell="C5" workbookViewId="0">
      <selection activeCell="D6" sqref="D6:H35"/>
    </sheetView>
  </sheetViews>
  <sheetFormatPr defaultColWidth="8.83333333333333" defaultRowHeight="14.4" outlineLevelCol="7"/>
  <cols>
    <col min="1" max="1" width="3.66666666666667" style="64" customWidth="1"/>
    <col min="2" max="2" width="16.5" style="65" customWidth="1"/>
    <col min="3" max="3" width="73.5" style="66" customWidth="1"/>
    <col min="4" max="4" width="7.16666666666667" style="67" customWidth="1"/>
    <col min="5" max="5" width="11" style="67" customWidth="1"/>
    <col min="6" max="6" width="9.5" style="67" customWidth="1"/>
    <col min="7" max="7" width="10.8333333333333" style="67" customWidth="1"/>
    <col min="8" max="8" width="11.8333333333333" style="67" customWidth="1"/>
    <col min="9" max="16384" width="8.83333333333333" style="67"/>
  </cols>
  <sheetData>
    <row r="1" ht="25.2" spans="1:8">
      <c r="F1" s="37" t="s">
        <v>125</v>
      </c>
    </row>
    <row r="2" ht="24" customHeight="1" spans="1:8">
      <c r="A2" s="68"/>
      <c r="B2" s="69"/>
      <c r="C2" s="69"/>
      <c r="D2" s="69"/>
      <c r="E2" s="69"/>
      <c r="F2" s="69"/>
    </row>
    <row r="3" ht="34.5" customHeight="1" spans="1:8">
      <c r="A3" s="38" t="s">
        <v>126</v>
      </c>
      <c r="B3" s="39"/>
      <c r="C3" s="39"/>
      <c r="D3" s="39"/>
      <c r="E3" s="39"/>
      <c r="F3" s="40"/>
    </row>
    <row r="4" ht="51" customHeight="1" spans="1:8">
      <c r="A4" s="70" t="s">
        <v>127</v>
      </c>
      <c r="B4" s="71" t="s">
        <v>18</v>
      </c>
      <c r="C4" s="72" t="s">
        <v>3</v>
      </c>
      <c r="D4" s="73" t="s">
        <v>19</v>
      </c>
      <c r="E4" s="74" t="s">
        <v>65</v>
      </c>
      <c r="F4" s="74"/>
      <c r="G4" s="74" t="s">
        <v>128</v>
      </c>
      <c r="H4" s="74"/>
    </row>
    <row r="5" ht="39" customHeight="1" spans="1:8">
      <c r="A5" s="75"/>
      <c r="B5" s="76"/>
      <c r="C5" s="77"/>
      <c r="D5" s="78"/>
      <c r="E5" s="49" t="s">
        <v>22</v>
      </c>
      <c r="F5" s="49" t="s">
        <v>67</v>
      </c>
      <c r="G5" s="49" t="s">
        <v>22</v>
      </c>
      <c r="H5" s="49" t="s">
        <v>67</v>
      </c>
    </row>
    <row r="6" ht="45" customHeight="1" spans="1:8">
      <c r="A6" s="79">
        <v>1</v>
      </c>
      <c r="B6" s="80" t="s">
        <v>68</v>
      </c>
      <c r="C6" s="81" t="s">
        <v>129</v>
      </c>
      <c r="D6" s="82"/>
      <c r="E6" s="83"/>
      <c r="F6" s="84"/>
    </row>
    <row r="7" ht="43.5" customHeight="1" spans="1:8">
      <c r="A7" s="79">
        <v>2</v>
      </c>
      <c r="B7" s="80"/>
      <c r="C7" s="85" t="s">
        <v>130</v>
      </c>
      <c r="D7" s="82"/>
      <c r="E7" s="83"/>
      <c r="F7" s="84"/>
    </row>
    <row r="8" ht="48" customHeight="1" spans="1:8">
      <c r="A8" s="79">
        <v>3</v>
      </c>
      <c r="B8" s="80"/>
      <c r="C8" s="81" t="s">
        <v>131</v>
      </c>
      <c r="D8" s="82"/>
      <c r="E8" s="83"/>
      <c r="F8" s="84"/>
      <c r="G8" s="67"/>
      <c r="H8" s="86"/>
    </row>
    <row r="9" ht="61.5" customHeight="1" spans="1:8">
      <c r="A9" s="79">
        <v>4</v>
      </c>
      <c r="B9" s="80"/>
      <c r="C9" s="81" t="s">
        <v>132</v>
      </c>
      <c r="D9" s="82"/>
      <c r="E9" s="83"/>
      <c r="F9" s="84"/>
    </row>
    <row r="10" ht="42.75" customHeight="1" spans="1:8">
      <c r="A10" s="79">
        <v>5</v>
      </c>
      <c r="B10" s="80" t="s">
        <v>73</v>
      </c>
      <c r="C10" s="87" t="s">
        <v>133</v>
      </c>
      <c r="D10" s="82"/>
      <c r="E10" s="83"/>
      <c r="F10" s="84"/>
    </row>
    <row r="11" ht="63" customHeight="1" spans="1:8">
      <c r="A11" s="79">
        <v>7</v>
      </c>
      <c r="B11" s="88" t="s">
        <v>134</v>
      </c>
      <c r="C11" s="87" t="s">
        <v>135</v>
      </c>
      <c r="D11" s="82"/>
      <c r="E11" s="83"/>
      <c r="F11" s="84"/>
      <c r="G11" s="67"/>
      <c r="H11" s="86"/>
    </row>
    <row r="12" ht="39.6" spans="1:8">
      <c r="A12" s="79">
        <v>8</v>
      </c>
      <c r="B12" s="89" t="s">
        <v>78</v>
      </c>
      <c r="C12" s="87" t="s">
        <v>136</v>
      </c>
      <c r="D12" s="82"/>
      <c r="E12" s="83"/>
      <c r="F12" s="84"/>
    </row>
    <row r="13" ht="42.75" customHeight="1" spans="1:8">
      <c r="A13" s="90">
        <v>9</v>
      </c>
      <c r="B13" s="88" t="s">
        <v>80</v>
      </c>
      <c r="C13" s="91" t="s">
        <v>137</v>
      </c>
      <c r="D13" s="92"/>
      <c r="E13" s="93"/>
      <c r="F13" s="94"/>
    </row>
    <row r="14" ht="60.75" customHeight="1" spans="1:8">
      <c r="A14" s="90">
        <v>10</v>
      </c>
      <c r="B14" s="88" t="s">
        <v>138</v>
      </c>
      <c r="C14" s="91" t="s">
        <v>139</v>
      </c>
      <c r="D14" s="92"/>
      <c r="E14" s="83"/>
      <c r="F14" s="84"/>
    </row>
    <row r="15" ht="59.4" spans="1:8">
      <c r="A15" s="79">
        <v>11</v>
      </c>
      <c r="B15" s="89" t="s">
        <v>83</v>
      </c>
      <c r="C15" s="81" t="s">
        <v>140</v>
      </c>
      <c r="D15" s="82"/>
      <c r="E15" s="83"/>
      <c r="F15" s="84"/>
    </row>
    <row r="16" ht="59.4" spans="1:8">
      <c r="A16" s="79">
        <v>12</v>
      </c>
      <c r="B16" s="95" t="s">
        <v>83</v>
      </c>
      <c r="C16" s="81" t="s">
        <v>141</v>
      </c>
      <c r="D16" s="82"/>
      <c r="E16" s="83"/>
      <c r="F16" s="84"/>
    </row>
    <row r="17" ht="59.4" spans="1:8">
      <c r="A17" s="79">
        <v>13</v>
      </c>
      <c r="B17" s="89" t="s">
        <v>85</v>
      </c>
      <c r="C17" s="81" t="s">
        <v>142</v>
      </c>
      <c r="D17" s="82"/>
      <c r="E17" s="83"/>
      <c r="F17" s="84"/>
    </row>
    <row r="18" ht="58" customHeight="1" spans="1:8">
      <c r="A18" s="79">
        <v>14</v>
      </c>
      <c r="B18" s="89" t="s">
        <v>87</v>
      </c>
      <c r="C18" s="96" t="s">
        <v>143</v>
      </c>
      <c r="D18" s="82"/>
      <c r="E18" s="83"/>
      <c r="F18" s="84"/>
      <c r="G18" s="67"/>
      <c r="H18" s="86"/>
    </row>
    <row r="19" ht="38.25" customHeight="1" spans="1:8">
      <c r="A19" s="79">
        <v>16</v>
      </c>
      <c r="B19" s="89" t="s">
        <v>87</v>
      </c>
      <c r="C19" s="81" t="s">
        <v>144</v>
      </c>
      <c r="D19" s="82"/>
      <c r="E19" s="83"/>
      <c r="F19" s="84"/>
    </row>
    <row r="20" ht="45" customHeight="1" spans="1:8">
      <c r="A20" s="79">
        <v>17</v>
      </c>
      <c r="B20" s="89" t="s">
        <v>90</v>
      </c>
      <c r="C20" s="81" t="s">
        <v>145</v>
      </c>
      <c r="D20" s="82"/>
      <c r="E20" s="83"/>
      <c r="F20" s="84"/>
    </row>
    <row r="21" ht="105" customHeight="1" spans="1:8">
      <c r="A21" s="79">
        <v>18</v>
      </c>
      <c r="B21" s="95" t="s">
        <v>146</v>
      </c>
      <c r="C21" s="87" t="s">
        <v>147</v>
      </c>
      <c r="D21" s="82"/>
      <c r="E21" s="83"/>
      <c r="F21" s="84"/>
    </row>
    <row r="22" ht="79.2" spans="1:8">
      <c r="A22" s="79">
        <v>19</v>
      </c>
      <c r="B22" s="89" t="s">
        <v>148</v>
      </c>
      <c r="C22" s="81" t="s">
        <v>149</v>
      </c>
      <c r="D22" s="82"/>
      <c r="E22" s="83"/>
      <c r="F22" s="84"/>
      <c r="G22" s="67"/>
      <c r="H22" s="97"/>
    </row>
    <row r="23" ht="65" customHeight="1" spans="1:8">
      <c r="A23" s="79">
        <v>20</v>
      </c>
      <c r="B23" s="89" t="s">
        <v>100</v>
      </c>
      <c r="C23" s="87" t="s">
        <v>150</v>
      </c>
      <c r="D23" s="82"/>
      <c r="E23" s="83"/>
      <c r="F23" s="84"/>
    </row>
    <row r="24" ht="69" customHeight="1" spans="1:8">
      <c r="A24" s="79">
        <v>22</v>
      </c>
      <c r="B24" s="89"/>
      <c r="C24" s="87" t="s">
        <v>151</v>
      </c>
      <c r="D24" s="82"/>
      <c r="E24" s="83"/>
      <c r="F24" s="84"/>
      <c r="G24" s="67"/>
      <c r="H24" s="98"/>
    </row>
    <row r="25" ht="141.75" customHeight="1" spans="1:8">
      <c r="A25" s="79">
        <v>23</v>
      </c>
      <c r="B25" s="89"/>
      <c r="C25" s="81" t="s">
        <v>152</v>
      </c>
      <c r="D25" s="82"/>
      <c r="E25" s="83"/>
      <c r="F25" s="84"/>
      <c r="G25" s="82"/>
    </row>
    <row r="26" ht="59.4" spans="1:8">
      <c r="A26" s="79">
        <v>24</v>
      </c>
      <c r="B26" s="89" t="s">
        <v>108</v>
      </c>
      <c r="C26" s="81" t="s">
        <v>109</v>
      </c>
      <c r="D26" s="82"/>
      <c r="E26" s="83"/>
      <c r="F26" s="84"/>
    </row>
    <row r="27" ht="62.25" customHeight="1" spans="1:8">
      <c r="A27" s="79">
        <v>25</v>
      </c>
      <c r="B27" s="89" t="s">
        <v>110</v>
      </c>
      <c r="C27" s="81" t="s">
        <v>111</v>
      </c>
      <c r="D27" s="82"/>
      <c r="E27" s="83"/>
      <c r="F27" s="84"/>
    </row>
    <row r="28" ht="79.5" customHeight="1" spans="1:8">
      <c r="A28" s="79">
        <v>26</v>
      </c>
      <c r="B28" s="89" t="s">
        <v>112</v>
      </c>
      <c r="C28" s="81" t="s">
        <v>153</v>
      </c>
      <c r="D28" s="82"/>
      <c r="E28" s="83"/>
      <c r="F28" s="84"/>
    </row>
    <row r="29" ht="28.5" customHeight="1" spans="1:8">
      <c r="A29" s="79">
        <v>27</v>
      </c>
      <c r="B29" s="89" t="s">
        <v>114</v>
      </c>
      <c r="C29" s="87" t="s">
        <v>154</v>
      </c>
      <c r="D29" s="82"/>
      <c r="E29" s="83"/>
      <c r="F29" s="84"/>
      <c r="G29" s="67"/>
      <c r="H29" s="86"/>
    </row>
    <row r="30" ht="41.25" customHeight="1" spans="1:8">
      <c r="A30" s="79">
        <v>28</v>
      </c>
      <c r="B30" s="89" t="s">
        <v>155</v>
      </c>
      <c r="C30" s="87" t="s">
        <v>156</v>
      </c>
      <c r="D30" s="82"/>
      <c r="E30" s="83"/>
      <c r="F30" s="84"/>
      <c r="G30" s="67"/>
      <c r="H30" s="86"/>
    </row>
    <row r="31" ht="63" customHeight="1" spans="1:8">
      <c r="A31" s="79">
        <v>29</v>
      </c>
      <c r="B31" s="89" t="s">
        <v>116</v>
      </c>
      <c r="C31" s="87" t="s">
        <v>157</v>
      </c>
      <c r="D31" s="82"/>
      <c r="E31" s="83"/>
      <c r="F31" s="84"/>
    </row>
    <row r="32" ht="66" customHeight="1" spans="1:8">
      <c r="A32" s="79">
        <v>30</v>
      </c>
      <c r="B32" s="89" t="s">
        <v>118</v>
      </c>
      <c r="C32" s="81" t="s">
        <v>158</v>
      </c>
      <c r="D32" s="82"/>
      <c r="E32" s="83"/>
      <c r="F32" s="84"/>
    </row>
    <row r="33" ht="96.75" customHeight="1" spans="1:8">
      <c r="A33" s="79">
        <v>31</v>
      </c>
      <c r="B33" s="99" t="s">
        <v>120</v>
      </c>
      <c r="C33" s="100" t="s">
        <v>121</v>
      </c>
      <c r="D33" s="101"/>
      <c r="E33" s="83"/>
      <c r="F33" s="84"/>
      <c r="G33" s="101"/>
      <c r="H33" s="86"/>
    </row>
    <row r="34" ht="52.5" customHeight="1" spans="1:8">
      <c r="A34" s="79">
        <v>32</v>
      </c>
      <c r="B34" s="99" t="s">
        <v>122</v>
      </c>
      <c r="C34" s="100" t="s">
        <v>123</v>
      </c>
      <c r="D34" s="101"/>
      <c r="E34" s="83"/>
      <c r="F34" s="84"/>
      <c r="G34" s="101"/>
      <c r="H34" s="86"/>
    </row>
    <row r="35" ht="29.25" customHeight="1" spans="1:8">
      <c r="A35" s="102" t="s">
        <v>60</v>
      </c>
      <c r="B35" s="103"/>
      <c r="C35" s="103"/>
      <c r="D35" s="104"/>
      <c r="E35" s="105"/>
      <c r="F35" s="106"/>
    </row>
    <row r="36" ht="90.5" customHeight="1" spans="1:8">
      <c r="A36" s="60" t="s">
        <v>61</v>
      </c>
      <c r="B36" s="107" t="s">
        <v>62</v>
      </c>
      <c r="C36" s="108"/>
      <c r="D36" s="108"/>
      <c r="E36" s="108"/>
      <c r="F36" s="109"/>
    </row>
    <row r="37" ht="19.8" spans="1:8">
      <c r="A37" s="110"/>
      <c r="B37" s="111"/>
      <c r="C37" s="112"/>
      <c r="D37" s="113"/>
      <c r="E37" s="113"/>
      <c r="F37" s="113"/>
    </row>
    <row r="38" ht="19.8" spans="1:8">
      <c r="A38" s="110"/>
      <c r="B38" s="111"/>
      <c r="C38" s="112"/>
      <c r="D38" s="113"/>
      <c r="E38" s="113"/>
      <c r="F38" s="113"/>
    </row>
    <row r="39" ht="19.8" spans="1:8">
      <c r="A39" s="110"/>
      <c r="B39" s="111"/>
      <c r="C39" s="112"/>
      <c r="D39" s="113"/>
      <c r="E39" s="113"/>
      <c r="F39" s="113"/>
    </row>
    <row r="40" ht="19.8" spans="1:8">
      <c r="A40" s="110"/>
      <c r="B40" s="111"/>
      <c r="C40" s="112"/>
      <c r="D40" s="113"/>
      <c r="E40" s="113"/>
      <c r="F40" s="113"/>
    </row>
    <row r="41" ht="19.8" spans="1:8">
      <c r="A41" s="110"/>
      <c r="B41" s="111"/>
      <c r="C41" s="112"/>
      <c r="D41" s="113"/>
      <c r="E41" s="113"/>
      <c r="F41" s="113"/>
    </row>
  </sheetData>
  <mergeCells count="12">
    <mergeCell ref="A2:F2"/>
    <mergeCell ref="A3:F3"/>
    <mergeCell ref="E4:F4"/>
    <mergeCell ref="G4:H4"/>
    <mergeCell ref="A35:C35"/>
    <mergeCell ref="B36:F36"/>
    <mergeCell ref="A4:A5"/>
    <mergeCell ref="B4:B5"/>
    <mergeCell ref="B6:B9"/>
    <mergeCell ref="B23:B24"/>
    <mergeCell ref="C4:C5"/>
    <mergeCell ref="D4:D5"/>
  </mergeCells>
  <printOptions horizontalCentered="1"/>
  <pageMargins left="0.25" right="0.25" top="0.5" bottom="0.5" header="0.196850393700787" footer="0"/>
  <pageSetup paperSize="9" scale="67" fitToHeight="2" orientation="portrait"/>
  <headerFooter/>
  <rowBreaks count="1" manualBreakCount="1">
    <brk id="25" max="16383" man="1"/>
  </rowBreak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pageSetUpPr fitToPage="1"/>
  </sheetPr>
  <dimension ref="A1:F19"/>
  <sheetViews>
    <sheetView view="pageBreakPreview" zoomScale="120" zoomScalePageLayoutView="70" zoomScaleNormal="80" topLeftCell="B4" workbookViewId="0">
      <selection activeCell="D5" sqref="D5:F17"/>
    </sheetView>
  </sheetViews>
  <sheetFormatPr defaultColWidth="8.83333333333333" defaultRowHeight="13.8" outlineLevelCol="5"/>
  <cols>
    <col min="1" max="1" width="6.5" style="33" customWidth="1"/>
    <col min="2" max="2" width="30.1666666666667" style="34" customWidth="1"/>
    <col min="3" max="3" width="59.1666666666667" style="35" customWidth="1"/>
    <col min="4" max="4" width="10.6666666666667" style="33" customWidth="1"/>
    <col min="5" max="5" width="18" style="36" customWidth="1"/>
    <col min="6" max="6" width="22.6666666666667" style="36" customWidth="1"/>
    <col min="7" max="7" width="26.5" style="36" customWidth="1"/>
    <col min="8" max="16384" width="8.83333333333333" style="36"/>
  </cols>
  <sheetData>
    <row r="1" ht="25.95" spans="1:6">
      <c r="F1" s="37" t="s">
        <v>159</v>
      </c>
    </row>
    <row r="2" ht="34.5" customHeight="1" spans="1:6">
      <c r="A2" s="38" t="s">
        <v>160</v>
      </c>
      <c r="B2" s="39"/>
      <c r="C2" s="39"/>
      <c r="D2" s="39"/>
      <c r="E2" s="39"/>
      <c r="F2" s="40"/>
    </row>
    <row r="3" ht="74" customHeight="1" spans="1:6">
      <c r="A3" s="41" t="s">
        <v>17</v>
      </c>
      <c r="B3" s="42" t="s">
        <v>18</v>
      </c>
      <c r="C3" s="43" t="s">
        <v>3</v>
      </c>
      <c r="D3" s="44" t="s">
        <v>19</v>
      </c>
      <c r="E3" s="11" t="s">
        <v>161</v>
      </c>
      <c r="F3" s="12" t="s">
        <v>21</v>
      </c>
    </row>
    <row r="4" ht="65.25" customHeight="1" spans="1:6">
      <c r="A4" s="45"/>
      <c r="B4" s="46"/>
      <c r="C4" s="47"/>
      <c r="D4" s="48"/>
      <c r="E4" s="49" t="s">
        <v>22</v>
      </c>
      <c r="F4" s="49" t="s">
        <v>22</v>
      </c>
    </row>
    <row r="5" ht="27" customHeight="1" spans="1:6">
      <c r="A5" s="50">
        <v>1</v>
      </c>
      <c r="B5" s="51" t="s">
        <v>162</v>
      </c>
      <c r="C5" s="52" t="s">
        <v>163</v>
      </c>
      <c r="D5" s="53"/>
      <c r="E5" s="54"/>
      <c r="F5" s="54"/>
    </row>
    <row r="6" ht="53" customHeight="1" spans="1:6">
      <c r="A6" s="50">
        <v>2</v>
      </c>
      <c r="B6" s="51" t="s">
        <v>164</v>
      </c>
      <c r="C6" s="52" t="s">
        <v>165</v>
      </c>
      <c r="D6" s="53"/>
      <c r="E6" s="54"/>
      <c r="F6" s="54"/>
    </row>
    <row r="7" ht="45.5" customHeight="1" spans="1:6">
      <c r="A7" s="50">
        <v>3</v>
      </c>
      <c r="B7" s="51" t="s">
        <v>166</v>
      </c>
      <c r="C7" s="52" t="s">
        <v>167</v>
      </c>
      <c r="D7" s="53"/>
      <c r="E7" s="54"/>
      <c r="F7" s="54"/>
    </row>
    <row r="8" ht="60" customHeight="1" spans="1:6">
      <c r="A8" s="50">
        <v>4</v>
      </c>
      <c r="B8" s="51" t="s">
        <v>92</v>
      </c>
      <c r="C8" s="52" t="s">
        <v>168</v>
      </c>
      <c r="D8" s="53"/>
      <c r="E8" s="54"/>
      <c r="F8" s="54"/>
    </row>
    <row r="9" ht="42" customHeight="1" spans="1:6">
      <c r="A9" s="50">
        <v>5</v>
      </c>
      <c r="B9" s="51" t="s">
        <v>169</v>
      </c>
      <c r="C9" s="52" t="s">
        <v>170</v>
      </c>
      <c r="D9" s="53"/>
      <c r="E9" s="54"/>
      <c r="F9" s="54"/>
    </row>
    <row r="10" ht="39" customHeight="1" spans="1:6">
      <c r="A10" s="50">
        <v>6</v>
      </c>
      <c r="B10" s="51"/>
      <c r="C10" s="52" t="s">
        <v>171</v>
      </c>
      <c r="D10" s="53"/>
      <c r="E10" s="54"/>
      <c r="F10" s="54"/>
    </row>
    <row r="11" ht="41.5" customHeight="1" spans="1:6">
      <c r="A11" s="50">
        <v>7</v>
      </c>
      <c r="B11" s="51"/>
      <c r="C11" s="52" t="s">
        <v>172</v>
      </c>
      <c r="D11" s="53"/>
      <c r="E11" s="54"/>
      <c r="F11" s="54"/>
    </row>
    <row r="12" ht="41" customHeight="1" spans="1:6">
      <c r="A12" s="50">
        <v>8</v>
      </c>
      <c r="B12" s="51" t="s">
        <v>114</v>
      </c>
      <c r="C12" s="52" t="s">
        <v>173</v>
      </c>
      <c r="D12" s="53"/>
      <c r="E12" s="54"/>
      <c r="F12" s="54"/>
    </row>
    <row r="13" ht="31.2" spans="1:6">
      <c r="A13" s="50">
        <v>9</v>
      </c>
      <c r="B13" s="51" t="s">
        <v>174</v>
      </c>
      <c r="C13" s="52" t="s">
        <v>175</v>
      </c>
      <c r="D13" s="53"/>
      <c r="E13" s="54"/>
      <c r="F13" s="54"/>
    </row>
    <row r="14" ht="45" customHeight="1" spans="1:6">
      <c r="A14" s="50">
        <v>10</v>
      </c>
      <c r="B14" s="51" t="s">
        <v>176</v>
      </c>
      <c r="C14" s="52" t="s">
        <v>177</v>
      </c>
      <c r="D14" s="53"/>
      <c r="E14" s="54"/>
      <c r="F14" s="54"/>
    </row>
    <row r="15" ht="36.5" customHeight="1" spans="1:6">
      <c r="A15" s="50">
        <v>11</v>
      </c>
      <c r="B15" s="51" t="s">
        <v>116</v>
      </c>
      <c r="C15" s="52" t="s">
        <v>178</v>
      </c>
      <c r="D15" s="53"/>
      <c r="E15" s="54"/>
      <c r="F15" s="54"/>
    </row>
    <row r="16" ht="50" customHeight="1" spans="1:6">
      <c r="A16" s="50">
        <v>12</v>
      </c>
      <c r="B16" s="51"/>
      <c r="C16" s="52" t="s">
        <v>179</v>
      </c>
      <c r="D16" s="53"/>
      <c r="E16" s="54"/>
      <c r="F16" s="54"/>
    </row>
    <row r="17" ht="41" customHeight="1" spans="1:6">
      <c r="A17" s="50">
        <v>13</v>
      </c>
      <c r="B17" s="51" t="s">
        <v>118</v>
      </c>
      <c r="C17" s="52" t="s">
        <v>119</v>
      </c>
      <c r="D17" s="53"/>
      <c r="E17" s="54"/>
      <c r="F17" s="54"/>
    </row>
    <row r="18" ht="0.5" hidden="1" customHeight="1" spans="1:6">
      <c r="A18" s="55"/>
      <c r="B18" s="56"/>
      <c r="C18" s="56"/>
      <c r="D18" s="57"/>
      <c r="E18" s="58"/>
      <c r="F18" s="59"/>
    </row>
    <row r="19" ht="117.75" customHeight="1" spans="1:6">
      <c r="A19" s="60" t="s">
        <v>61</v>
      </c>
      <c r="B19" s="61" t="s">
        <v>62</v>
      </c>
      <c r="C19" s="62"/>
      <c r="D19" s="62"/>
      <c r="E19" s="62"/>
      <c r="F19" s="63"/>
    </row>
  </sheetData>
  <mergeCells count="9">
    <mergeCell ref="A2:F2"/>
    <mergeCell ref="A18:C18"/>
    <mergeCell ref="B19:F19"/>
    <mergeCell ref="A3:A4"/>
    <mergeCell ref="B3:B4"/>
    <mergeCell ref="B9:B11"/>
    <mergeCell ref="B15:B16"/>
    <mergeCell ref="C3:C4"/>
    <mergeCell ref="D3:D4"/>
  </mergeCells>
  <printOptions horizontalCentered="1"/>
  <pageMargins left="0.25" right="0.25" top="0.5" bottom="0.5" header="0.196850393700787" footer="0.31496062992126"/>
  <pageSetup paperSize="9" scale="67" orientation="portrait"/>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3"/>
  <dimension ref="A1:E15"/>
  <sheetViews>
    <sheetView tabSelected="1" zoomScale="90" zoomScaleNormal="90" zoomScaleSheetLayoutView="130" workbookViewId="0">
      <selection activeCell="G5" sqref="G5"/>
    </sheetView>
  </sheetViews>
  <sheetFormatPr defaultColWidth="10.6666666666667" defaultRowHeight="15.6" outlineLevelCol="4"/>
  <cols>
    <col min="1" max="1" width="7.66666666666667" style="3" customWidth="1"/>
    <col min="2" max="2" width="128" style="4" customWidth="1"/>
    <col min="3" max="3" width="20.8333333333333" style="5" customWidth="1"/>
    <col min="4" max="4" width="20.1666666666667" style="5" customWidth="1"/>
    <col min="5" max="5" width="23.1666666666667" style="5" customWidth="1"/>
    <col min="6" max="16384" width="10.6666666666667" style="5"/>
  </cols>
  <sheetData>
    <row r="1" ht="30" customHeight="1" spans="1:5">
      <c r="E1" s="6" t="s">
        <v>180</v>
      </c>
    </row>
    <row r="2" ht="30.5" customHeight="1" spans="1:5">
      <c r="A2" s="7" t="s">
        <v>181</v>
      </c>
      <c r="B2" s="7"/>
      <c r="C2" s="7"/>
      <c r="D2" s="7"/>
      <c r="E2" s="7"/>
    </row>
    <row r="3" s="1" customFormat="1" ht="31.2" spans="1:5">
      <c r="A3" s="8" t="s">
        <v>17</v>
      </c>
      <c r="B3" s="9" t="s">
        <v>182</v>
      </c>
      <c r="C3" s="10" t="s">
        <v>183</v>
      </c>
      <c r="D3" s="11" t="s">
        <v>184</v>
      </c>
      <c r="E3" s="12" t="s">
        <v>185</v>
      </c>
    </row>
    <row r="4" s="1" customFormat="1" ht="117" spans="1:5">
      <c r="A4" s="13">
        <v>1</v>
      </c>
      <c r="B4" s="14" t="s">
        <v>186</v>
      </c>
      <c r="C4" s="15"/>
      <c r="D4" s="16"/>
      <c r="E4" s="17"/>
    </row>
    <row r="5" s="2" customFormat="1" ht="210.6" spans="1:5">
      <c r="A5" s="18" t="s">
        <v>187</v>
      </c>
      <c r="B5" s="19" t="s">
        <v>188</v>
      </c>
      <c r="C5" s="15"/>
      <c r="D5" s="20"/>
      <c r="E5" s="21"/>
    </row>
    <row r="6" s="2" customFormat="1" ht="93.6" spans="1:5">
      <c r="A6" s="18" t="s">
        <v>189</v>
      </c>
      <c r="B6" s="19" t="s">
        <v>190</v>
      </c>
      <c r="C6" s="15"/>
      <c r="D6" s="20"/>
      <c r="E6" s="21"/>
    </row>
    <row r="7" s="2" customFormat="1" ht="71.25" customHeight="1" spans="1:5">
      <c r="A7" s="18" t="s">
        <v>189</v>
      </c>
      <c r="B7" s="19" t="s">
        <v>191</v>
      </c>
      <c r="C7" s="15"/>
      <c r="D7" s="20"/>
      <c r="E7" s="21"/>
    </row>
    <row r="8" ht="55.5" customHeight="1" spans="1:5">
      <c r="A8" s="22">
        <v>2</v>
      </c>
      <c r="B8" s="23" t="s">
        <v>192</v>
      </c>
      <c r="C8" s="16"/>
      <c r="D8" s="24"/>
      <c r="E8" s="25"/>
    </row>
    <row r="9" ht="114.75" customHeight="1" spans="1:5">
      <c r="A9" s="22" t="s">
        <v>187</v>
      </c>
      <c r="B9" s="26" t="s">
        <v>193</v>
      </c>
      <c r="C9" s="16"/>
      <c r="D9" s="16"/>
      <c r="E9" s="25"/>
    </row>
    <row r="10" ht="49.5" customHeight="1" spans="1:5">
      <c r="A10" s="22" t="s">
        <v>189</v>
      </c>
      <c r="B10" s="26" t="s">
        <v>194</v>
      </c>
      <c r="C10" s="16"/>
      <c r="D10" s="16"/>
      <c r="E10" s="25"/>
    </row>
    <row r="11" ht="61.5" customHeight="1" spans="1:5">
      <c r="A11" s="22">
        <v>3</v>
      </c>
      <c r="B11" s="19" t="s">
        <v>195</v>
      </c>
      <c r="C11" s="16"/>
      <c r="D11" s="24"/>
      <c r="E11" s="25"/>
    </row>
    <row r="12" ht="35" customHeight="1" spans="1:5">
      <c r="A12" s="22" t="s">
        <v>187</v>
      </c>
      <c r="B12" s="26" t="s">
        <v>196</v>
      </c>
      <c r="C12" s="16"/>
      <c r="D12" s="24"/>
      <c r="E12" s="25"/>
    </row>
    <row r="13" ht="167.25" customHeight="1" spans="1:5">
      <c r="A13" s="22" t="s">
        <v>189</v>
      </c>
      <c r="B13" s="26" t="s">
        <v>197</v>
      </c>
      <c r="C13" s="16"/>
      <c r="D13" s="24"/>
      <c r="E13" s="25"/>
    </row>
    <row r="14" ht="45" customHeight="1" spans="1:5">
      <c r="A14" s="27" t="s">
        <v>198</v>
      </c>
      <c r="B14" s="28"/>
      <c r="C14" s="28"/>
      <c r="D14" s="28"/>
      <c r="E14" s="29"/>
    </row>
    <row r="15" ht="161.25" customHeight="1" spans="1:5">
      <c r="A15" s="30" t="s">
        <v>61</v>
      </c>
      <c r="B15" s="31" t="s">
        <v>62</v>
      </c>
      <c r="C15" s="31"/>
      <c r="D15" s="31"/>
      <c r="E15" s="32"/>
    </row>
  </sheetData>
  <mergeCells count="3">
    <mergeCell ref="A2:E2"/>
    <mergeCell ref="A14:E14"/>
    <mergeCell ref="B15:E15"/>
  </mergeCells>
  <printOptions horizontalCentered="1"/>
  <pageMargins left="0.2" right="0.2" top="0.5" bottom="0.5" header="0.3" footer="0.3"/>
  <pageSetup paperSize="9" scale="47" orientation="portrait"/>
  <headerFooter/>
</worksheet>
</file>

<file path=docProps/app.xml><?xml version="1.0" encoding="utf-8"?>
<Properties xmlns="http://schemas.openxmlformats.org/officeDocument/2006/extended-properties" xmlns:vt="http://schemas.openxmlformats.org/officeDocument/2006/docPropsVTypes">
  <Application>Microsoft Macintosh Excel</Application>
  <HeadingPairs>
    <vt:vector size="2" baseType="variant">
      <vt:variant>
        <vt:lpstr>工作表</vt:lpstr>
      </vt:variant>
      <vt:variant>
        <vt:i4>6</vt:i4>
      </vt:variant>
    </vt:vector>
  </HeadingPairs>
  <TitlesOfParts>
    <vt:vector size="6" baseType="lpstr">
      <vt:lpstr>Summary BOQ Annex-B</vt:lpstr>
      <vt:lpstr>B1-Computing Nodes With GPU</vt:lpstr>
      <vt:lpstr>B2-NVMe Storage </vt:lpstr>
      <vt:lpstr>B3-Back up Storage</vt:lpstr>
      <vt:lpstr>B4-SAN Switch </vt:lpstr>
      <vt:lpstr>B5-Cloud</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Infrastructure</dc:creator>
  <cp:lastModifiedBy>PMYLS</cp:lastModifiedBy>
  <dcterms:created xsi:type="dcterms:W3CDTF">2025-11-21T03:14:00Z</dcterms:created>
  <cp:lastPrinted>2026-07-22T11:56:00Z</cp:lastPrinted>
  <dcterms:modified xsi:type="dcterms:W3CDTF">2026-08-17T18:52:10Z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76D227D3C67D467DACD8990FF3638293_12</vt:lpwstr>
  </property>
  <property fmtid="{D5CDD505-2E9C-101B-9397-08002B2CF9AE}" pid="3" name="KSOProductBuildVer">
    <vt:lpwstr>1033-12.1.0.28032</vt:lpwstr>
  </property>
  <property fmtid="{D5CDD505-2E9C-101B-9397-08002B2CF9AE}" pid="4" name="CalculationRule">
    <vt:i4>0</vt:i4>
  </property>
</Properties>
</file>